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ЦяКнига"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13_ncr:1_{FF45AE75-0DA0-42F8-A63D-9A05565D9E80}" xr6:coauthVersionLast="47" xr6:coauthVersionMax="47" xr10:uidLastSave="{00000000-0000-0000-0000-000000000000}"/>
  <bookViews>
    <workbookView xWindow="-120" yWindow="-120" windowWidth="29040" windowHeight="15720" tabRatio="718" xr2:uid="{00000000-000D-0000-FFFF-FFFF00000000}"/>
  </bookViews>
  <sheets>
    <sheet name="Вигрузка" sheetId="6" r:id="rId1"/>
    <sheet name="Компонети" sheetId="1" r:id="rId2"/>
    <sheet name="MultiPlus &amp; Sunlight" sheetId="2" r:id="rId3"/>
    <sheet name="Quattro &amp; Sunlight" sheetId="3" r:id="rId4"/>
    <sheet name="Технічні параметри 230В" sheetId="4" r:id="rId5"/>
    <sheet name="Технічні параметри 400В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F3" i="1"/>
  <c r="E174" i="2" s="1"/>
  <c r="F174" i="2" s="1"/>
  <c r="B6" i="6"/>
  <c r="F4" i="1"/>
  <c r="F5" i="1"/>
  <c r="F6" i="1"/>
  <c r="E31" i="2" s="1"/>
  <c r="F31" i="2" s="1"/>
  <c r="F7" i="1"/>
  <c r="F8" i="1"/>
  <c r="F9" i="1"/>
  <c r="F10" i="1"/>
  <c r="F11" i="1"/>
  <c r="F12" i="1"/>
  <c r="F13" i="1"/>
  <c r="F14" i="1"/>
  <c r="E227" i="3"/>
  <c r="F227" i="3" s="1"/>
  <c r="E136" i="3"/>
  <c r="F136" i="3" s="1"/>
  <c r="E108" i="2"/>
  <c r="F108" i="2" s="1"/>
  <c r="E175" i="3"/>
  <c r="F175" i="3" s="1"/>
  <c r="E349" i="2"/>
  <c r="F349" i="2" s="1"/>
  <c r="E336" i="2"/>
  <c r="F336" i="2" s="1"/>
  <c r="E323" i="2"/>
  <c r="F323" i="2" s="1"/>
  <c r="E310" i="2"/>
  <c r="F310" i="2" s="1"/>
  <c r="E297" i="2"/>
  <c r="E284" i="2"/>
  <c r="E271" i="2"/>
  <c r="E258" i="2"/>
  <c r="F258" i="2" s="1"/>
  <c r="E245" i="2"/>
  <c r="E232" i="2"/>
  <c r="E219" i="2"/>
  <c r="F219" i="2" s="1"/>
  <c r="E206" i="2"/>
  <c r="F206" i="2" s="1"/>
  <c r="E193" i="2"/>
  <c r="F193" i="2" s="1"/>
  <c r="E180" i="2"/>
  <c r="E167" i="2"/>
  <c r="E154" i="2"/>
  <c r="C349" i="2"/>
  <c r="H14" i="2"/>
  <c r="H15" i="2"/>
  <c r="H16" i="3"/>
  <c r="H8" i="2"/>
  <c r="H7" i="2"/>
  <c r="H6" i="2"/>
  <c r="H28" i="2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7" i="6"/>
  <c r="H25" i="3"/>
  <c r="A52" i="6" s="1"/>
  <c r="H24" i="3"/>
  <c r="A51" i="6" s="1"/>
  <c r="H23" i="3"/>
  <c r="A50" i="6" s="1"/>
  <c r="H22" i="3"/>
  <c r="A49" i="6" s="1"/>
  <c r="H21" i="3"/>
  <c r="A48" i="6" s="1"/>
  <c r="H20" i="3"/>
  <c r="H19" i="3"/>
  <c r="A46" i="6" s="1"/>
  <c r="H18" i="3"/>
  <c r="H17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15" i="3"/>
  <c r="E301" i="3"/>
  <c r="F301" i="3" s="1"/>
  <c r="E300" i="3"/>
  <c r="F300" i="3" s="1"/>
  <c r="E299" i="3"/>
  <c r="F299" i="3" s="1"/>
  <c r="E298" i="3"/>
  <c r="F298" i="3" s="1"/>
  <c r="E297" i="3"/>
  <c r="F297" i="3" s="1"/>
  <c r="E288" i="3"/>
  <c r="F288" i="3" s="1"/>
  <c r="E287" i="3"/>
  <c r="F287" i="3" s="1"/>
  <c r="E286" i="3"/>
  <c r="F286" i="3" s="1"/>
  <c r="E285" i="3"/>
  <c r="F285" i="3" s="1"/>
  <c r="E284" i="3"/>
  <c r="F284" i="3" s="1"/>
  <c r="E275" i="3"/>
  <c r="F275" i="3" s="1"/>
  <c r="E274" i="3"/>
  <c r="F274" i="3" s="1"/>
  <c r="E273" i="3"/>
  <c r="F273" i="3" s="1"/>
  <c r="E272" i="3"/>
  <c r="F272" i="3" s="1"/>
  <c r="E271" i="3"/>
  <c r="F271" i="3" s="1"/>
  <c r="E262" i="3"/>
  <c r="F262" i="3" s="1"/>
  <c r="E261" i="3"/>
  <c r="F261" i="3" s="1"/>
  <c r="E260" i="3"/>
  <c r="F260" i="3" s="1"/>
  <c r="E259" i="3"/>
  <c r="F259" i="3" s="1"/>
  <c r="E258" i="3"/>
  <c r="F258" i="3" s="1"/>
  <c r="E249" i="3"/>
  <c r="F249" i="3" s="1"/>
  <c r="E248" i="3"/>
  <c r="F248" i="3" s="1"/>
  <c r="E247" i="3"/>
  <c r="F247" i="3" s="1"/>
  <c r="E246" i="3"/>
  <c r="F246" i="3" s="1"/>
  <c r="E245" i="3"/>
  <c r="F245" i="3" s="1"/>
  <c r="E236" i="3"/>
  <c r="F236" i="3" s="1"/>
  <c r="E235" i="3"/>
  <c r="F235" i="3" s="1"/>
  <c r="E234" i="3"/>
  <c r="F234" i="3" s="1"/>
  <c r="E233" i="3"/>
  <c r="F233" i="3" s="1"/>
  <c r="E232" i="3"/>
  <c r="F232" i="3" s="1"/>
  <c r="E223" i="3"/>
  <c r="F223" i="3" s="1"/>
  <c r="E222" i="3"/>
  <c r="F222" i="3" s="1"/>
  <c r="E221" i="3"/>
  <c r="F221" i="3" s="1"/>
  <c r="E220" i="3"/>
  <c r="F220" i="3" s="1"/>
  <c r="E219" i="3"/>
  <c r="F219" i="3" s="1"/>
  <c r="E210" i="3"/>
  <c r="F210" i="3" s="1"/>
  <c r="E209" i="3"/>
  <c r="F209" i="3" s="1"/>
  <c r="E208" i="3"/>
  <c r="F208" i="3" s="1"/>
  <c r="E207" i="3"/>
  <c r="F207" i="3" s="1"/>
  <c r="E206" i="3"/>
  <c r="F206" i="3" s="1"/>
  <c r="E197" i="3"/>
  <c r="F197" i="3" s="1"/>
  <c r="E196" i="3"/>
  <c r="F196" i="3" s="1"/>
  <c r="E195" i="3"/>
  <c r="F195" i="3" s="1"/>
  <c r="E194" i="3"/>
  <c r="F194" i="3" s="1"/>
  <c r="E193" i="3"/>
  <c r="F193" i="3" s="1"/>
  <c r="E184" i="3"/>
  <c r="F184" i="3" s="1"/>
  <c r="E183" i="3"/>
  <c r="F183" i="3" s="1"/>
  <c r="E182" i="3"/>
  <c r="F182" i="3" s="1"/>
  <c r="E181" i="3"/>
  <c r="F181" i="3" s="1"/>
  <c r="E180" i="3"/>
  <c r="F180" i="3" s="1"/>
  <c r="E171" i="3"/>
  <c r="F171" i="3" s="1"/>
  <c r="E170" i="3"/>
  <c r="F170" i="3" s="1"/>
  <c r="E169" i="3"/>
  <c r="F169" i="3" s="1"/>
  <c r="E168" i="3"/>
  <c r="F168" i="3" s="1"/>
  <c r="E167" i="3"/>
  <c r="F167" i="3" s="1"/>
  <c r="E158" i="3"/>
  <c r="F158" i="3" s="1"/>
  <c r="E157" i="3"/>
  <c r="F157" i="3" s="1"/>
  <c r="E156" i="3"/>
  <c r="F156" i="3" s="1"/>
  <c r="E155" i="3"/>
  <c r="F155" i="3" s="1"/>
  <c r="E154" i="3"/>
  <c r="F154" i="3" s="1"/>
  <c r="E145" i="3"/>
  <c r="F145" i="3" s="1"/>
  <c r="E144" i="3"/>
  <c r="F144" i="3" s="1"/>
  <c r="E143" i="3"/>
  <c r="F143" i="3" s="1"/>
  <c r="E142" i="3"/>
  <c r="F142" i="3" s="1"/>
  <c r="E141" i="3"/>
  <c r="F141" i="3" s="1"/>
  <c r="E130" i="3"/>
  <c r="F130" i="3" s="1"/>
  <c r="E129" i="3"/>
  <c r="F129" i="3" s="1"/>
  <c r="E128" i="3"/>
  <c r="F128" i="3" s="1"/>
  <c r="E127" i="3"/>
  <c r="F127" i="3" s="1"/>
  <c r="E126" i="3"/>
  <c r="F126" i="3" s="1"/>
  <c r="E117" i="3"/>
  <c r="F117" i="3" s="1"/>
  <c r="E116" i="3"/>
  <c r="F116" i="3" s="1"/>
  <c r="E115" i="3"/>
  <c r="F115" i="3" s="1"/>
  <c r="E114" i="3"/>
  <c r="F114" i="3" s="1"/>
  <c r="E113" i="3"/>
  <c r="F113" i="3" s="1"/>
  <c r="E104" i="3"/>
  <c r="F104" i="3" s="1"/>
  <c r="E103" i="3"/>
  <c r="F103" i="3" s="1"/>
  <c r="E102" i="3"/>
  <c r="F102" i="3" s="1"/>
  <c r="E101" i="3"/>
  <c r="F101" i="3" s="1"/>
  <c r="E100" i="3"/>
  <c r="F100" i="3" s="1"/>
  <c r="E91" i="3"/>
  <c r="F91" i="3" s="1"/>
  <c r="E90" i="3"/>
  <c r="F90" i="3" s="1"/>
  <c r="E89" i="3"/>
  <c r="F89" i="3" s="1"/>
  <c r="E88" i="3"/>
  <c r="F88" i="3" s="1"/>
  <c r="E87" i="3"/>
  <c r="F87" i="3" s="1"/>
  <c r="E78" i="3"/>
  <c r="F78" i="3" s="1"/>
  <c r="E77" i="3"/>
  <c r="F77" i="3" s="1"/>
  <c r="E76" i="3"/>
  <c r="F76" i="3" s="1"/>
  <c r="E75" i="3"/>
  <c r="F75" i="3" s="1"/>
  <c r="E74" i="3"/>
  <c r="F74" i="3" s="1"/>
  <c r="E65" i="3"/>
  <c r="F65" i="3" s="1"/>
  <c r="E64" i="3"/>
  <c r="F64" i="3" s="1"/>
  <c r="E63" i="3"/>
  <c r="F63" i="3" s="1"/>
  <c r="E62" i="3"/>
  <c r="F62" i="3" s="1"/>
  <c r="E61" i="3"/>
  <c r="F61" i="3" s="1"/>
  <c r="E52" i="3"/>
  <c r="F52" i="3" s="1"/>
  <c r="E51" i="3"/>
  <c r="F51" i="3" s="1"/>
  <c r="E50" i="3"/>
  <c r="F50" i="3" s="1"/>
  <c r="E49" i="3"/>
  <c r="F49" i="3" s="1"/>
  <c r="E48" i="3"/>
  <c r="F48" i="3" s="1"/>
  <c r="E39" i="3"/>
  <c r="F39" i="3" s="1"/>
  <c r="E38" i="3"/>
  <c r="F38" i="3" s="1"/>
  <c r="E37" i="3"/>
  <c r="F37" i="3" s="1"/>
  <c r="E36" i="3"/>
  <c r="F36" i="3" s="1"/>
  <c r="E35" i="3"/>
  <c r="F35" i="3" s="1"/>
  <c r="E26" i="3"/>
  <c r="F26" i="3" s="1"/>
  <c r="E25" i="3"/>
  <c r="F25" i="3" s="1"/>
  <c r="E24" i="3"/>
  <c r="F24" i="3" s="1"/>
  <c r="E23" i="3"/>
  <c r="F23" i="3" s="1"/>
  <c r="E22" i="3"/>
  <c r="F22" i="3" s="1"/>
  <c r="E13" i="3"/>
  <c r="F13" i="3" s="1"/>
  <c r="E12" i="3"/>
  <c r="F12" i="3" s="1"/>
  <c r="E11" i="3"/>
  <c r="F11" i="3" s="1"/>
  <c r="E10" i="3"/>
  <c r="F10" i="3" s="1"/>
  <c r="E9" i="3"/>
  <c r="F9" i="3" s="1"/>
  <c r="B1" i="6"/>
  <c r="F271" i="2"/>
  <c r="F245" i="2"/>
  <c r="F180" i="2"/>
  <c r="F167" i="2"/>
  <c r="F154" i="2"/>
  <c r="E4" i="2"/>
  <c r="F4" i="2" s="1"/>
  <c r="E12" i="2"/>
  <c r="F12" i="2" s="1"/>
  <c r="E153" i="2"/>
  <c r="F153" i="2" s="1"/>
  <c r="E139" i="2"/>
  <c r="F139" i="2" s="1"/>
  <c r="E126" i="2"/>
  <c r="F126" i="2" s="1"/>
  <c r="E113" i="2"/>
  <c r="E100" i="2"/>
  <c r="F100" i="2" s="1"/>
  <c r="E87" i="2"/>
  <c r="F87" i="2" s="1"/>
  <c r="E74" i="2"/>
  <c r="F74" i="2" s="1"/>
  <c r="E61" i="2"/>
  <c r="F61" i="2" s="1"/>
  <c r="E48" i="2"/>
  <c r="F48" i="2" s="1"/>
  <c r="E36" i="2"/>
  <c r="F36" i="2" s="1"/>
  <c r="E24" i="2"/>
  <c r="F24" i="2" s="1"/>
  <c r="D23" i="1"/>
  <c r="F23" i="1" s="1"/>
  <c r="A6" i="6"/>
  <c r="A7" i="6"/>
  <c r="A8" i="6"/>
  <c r="A19" i="6"/>
  <c r="A20" i="6"/>
  <c r="H29" i="2"/>
  <c r="A29" i="6" s="1"/>
  <c r="A28" i="6"/>
  <c r="H27" i="2"/>
  <c r="A27" i="6" s="1"/>
  <c r="H26" i="2"/>
  <c r="A26" i="6" s="1"/>
  <c r="H25" i="2"/>
  <c r="A25" i="6" s="1"/>
  <c r="H24" i="2"/>
  <c r="A24" i="6" s="1"/>
  <c r="H23" i="2"/>
  <c r="A23" i="6" s="1"/>
  <c r="H22" i="2"/>
  <c r="A22" i="6" s="1"/>
  <c r="H21" i="2"/>
  <c r="A21" i="6" s="1"/>
  <c r="H20" i="2"/>
  <c r="H19" i="2"/>
  <c r="H18" i="2"/>
  <c r="A18" i="6" s="1"/>
  <c r="H17" i="2"/>
  <c r="A17" i="6" s="1"/>
  <c r="H16" i="2"/>
  <c r="A16" i="6" s="1"/>
  <c r="A15" i="6"/>
  <c r="A14" i="6"/>
  <c r="F232" i="2"/>
  <c r="F284" i="2"/>
  <c r="F297" i="2"/>
  <c r="E352" i="2"/>
  <c r="F352" i="2" s="1"/>
  <c r="E351" i="2"/>
  <c r="F351" i="2" s="1"/>
  <c r="E350" i="2"/>
  <c r="F350" i="2" s="1"/>
  <c r="E348" i="2"/>
  <c r="F348" i="2" s="1"/>
  <c r="E339" i="2"/>
  <c r="F339" i="2" s="1"/>
  <c r="E338" i="2"/>
  <c r="F338" i="2" s="1"/>
  <c r="E337" i="2"/>
  <c r="F337" i="2" s="1"/>
  <c r="E335" i="2"/>
  <c r="F335" i="2" s="1"/>
  <c r="E326" i="2"/>
  <c r="F326" i="2" s="1"/>
  <c r="E325" i="2"/>
  <c r="F325" i="2" s="1"/>
  <c r="E324" i="2"/>
  <c r="F324" i="2" s="1"/>
  <c r="E322" i="2"/>
  <c r="F322" i="2" s="1"/>
  <c r="E313" i="2"/>
  <c r="F313" i="2" s="1"/>
  <c r="E312" i="2"/>
  <c r="F312" i="2" s="1"/>
  <c r="E311" i="2"/>
  <c r="F311" i="2" s="1"/>
  <c r="E309" i="2"/>
  <c r="F309" i="2" s="1"/>
  <c r="E300" i="2"/>
  <c r="F300" i="2" s="1"/>
  <c r="E299" i="2"/>
  <c r="F299" i="2" s="1"/>
  <c r="E298" i="2"/>
  <c r="F298" i="2" s="1"/>
  <c r="E296" i="2"/>
  <c r="F296" i="2" s="1"/>
  <c r="E287" i="2"/>
  <c r="F287" i="2" s="1"/>
  <c r="E286" i="2"/>
  <c r="F286" i="2" s="1"/>
  <c r="E285" i="2"/>
  <c r="F285" i="2" s="1"/>
  <c r="E283" i="2"/>
  <c r="F283" i="2" s="1"/>
  <c r="E274" i="2"/>
  <c r="F274" i="2" s="1"/>
  <c r="E273" i="2"/>
  <c r="F273" i="2" s="1"/>
  <c r="E272" i="2"/>
  <c r="F272" i="2" s="1"/>
  <c r="E270" i="2"/>
  <c r="F270" i="2" s="1"/>
  <c r="E261" i="2"/>
  <c r="F261" i="2" s="1"/>
  <c r="E260" i="2"/>
  <c r="F260" i="2" s="1"/>
  <c r="E259" i="2"/>
  <c r="F259" i="2" s="1"/>
  <c r="E257" i="2"/>
  <c r="F257" i="2" s="1"/>
  <c r="E248" i="2"/>
  <c r="F248" i="2" s="1"/>
  <c r="E247" i="2"/>
  <c r="F247" i="2" s="1"/>
  <c r="E246" i="2"/>
  <c r="F246" i="2" s="1"/>
  <c r="E244" i="2"/>
  <c r="F244" i="2" s="1"/>
  <c r="E235" i="2"/>
  <c r="F235" i="2" s="1"/>
  <c r="E234" i="2"/>
  <c r="F234" i="2" s="1"/>
  <c r="E233" i="2"/>
  <c r="F233" i="2" s="1"/>
  <c r="E231" i="2"/>
  <c r="F231" i="2" s="1"/>
  <c r="E222" i="2"/>
  <c r="F222" i="2" s="1"/>
  <c r="E221" i="2"/>
  <c r="F221" i="2" s="1"/>
  <c r="E220" i="2"/>
  <c r="F220" i="2" s="1"/>
  <c r="E218" i="2"/>
  <c r="F218" i="2" s="1"/>
  <c r="E209" i="2"/>
  <c r="F209" i="2" s="1"/>
  <c r="E208" i="2"/>
  <c r="F208" i="2" s="1"/>
  <c r="E207" i="2"/>
  <c r="F207" i="2" s="1"/>
  <c r="E205" i="2"/>
  <c r="F205" i="2" s="1"/>
  <c r="E196" i="2"/>
  <c r="F196" i="2" s="1"/>
  <c r="E195" i="2"/>
  <c r="F195" i="2" s="1"/>
  <c r="E194" i="2"/>
  <c r="F194" i="2" s="1"/>
  <c r="E192" i="2"/>
  <c r="F192" i="2" s="1"/>
  <c r="E183" i="2"/>
  <c r="F183" i="2" s="1"/>
  <c r="E182" i="2"/>
  <c r="F182" i="2" s="1"/>
  <c r="E181" i="2"/>
  <c r="F181" i="2" s="1"/>
  <c r="E179" i="2"/>
  <c r="F179" i="2" s="1"/>
  <c r="E170" i="2"/>
  <c r="F170" i="2" s="1"/>
  <c r="E169" i="2"/>
  <c r="F169" i="2" s="1"/>
  <c r="E168" i="2"/>
  <c r="F168" i="2" s="1"/>
  <c r="E166" i="2"/>
  <c r="F166" i="2" s="1"/>
  <c r="E157" i="2"/>
  <c r="F157" i="2" s="1"/>
  <c r="E156" i="2"/>
  <c r="F156" i="2" s="1"/>
  <c r="E155" i="2"/>
  <c r="F155" i="2" s="1"/>
  <c r="A1" i="6"/>
  <c r="E253" i="3"/>
  <c r="F253" i="3" s="1"/>
  <c r="H13" i="2"/>
  <c r="A13" i="6" s="1"/>
  <c r="H12" i="2"/>
  <c r="A12" i="6" s="1"/>
  <c r="H11" i="2"/>
  <c r="A11" i="6" s="1"/>
  <c r="H10" i="2"/>
  <c r="A10" i="6" s="1"/>
  <c r="H9" i="2"/>
  <c r="A9" i="6" s="1"/>
  <c r="H5" i="2"/>
  <c r="A5" i="6" s="1"/>
  <c r="H4" i="2"/>
  <c r="A4" i="6" s="1"/>
  <c r="H3" i="2"/>
  <c r="A3" i="6" s="1"/>
  <c r="H2" i="2"/>
  <c r="A2" i="6" s="1"/>
  <c r="E143" i="2"/>
  <c r="F143" i="2" s="1"/>
  <c r="E142" i="2"/>
  <c r="F142" i="2" s="1"/>
  <c r="E141" i="2"/>
  <c r="F141" i="2" s="1"/>
  <c r="E140" i="2"/>
  <c r="F140" i="2" s="1"/>
  <c r="E130" i="2"/>
  <c r="F130" i="2" s="1"/>
  <c r="E129" i="2"/>
  <c r="F129" i="2" s="1"/>
  <c r="E128" i="2"/>
  <c r="F128" i="2" s="1"/>
  <c r="E127" i="2"/>
  <c r="F127" i="2" s="1"/>
  <c r="E117" i="2"/>
  <c r="F117" i="2" s="1"/>
  <c r="E116" i="2"/>
  <c r="F116" i="2" s="1"/>
  <c r="E115" i="2"/>
  <c r="F115" i="2" s="1"/>
  <c r="E114" i="2"/>
  <c r="F114" i="2" s="1"/>
  <c r="F113" i="2"/>
  <c r="E104" i="2"/>
  <c r="F104" i="2" s="1"/>
  <c r="E103" i="2"/>
  <c r="F103" i="2" s="1"/>
  <c r="E102" i="2"/>
  <c r="F102" i="2" s="1"/>
  <c r="E101" i="2"/>
  <c r="F101" i="2" s="1"/>
  <c r="E91" i="2"/>
  <c r="F91" i="2" s="1"/>
  <c r="E90" i="2"/>
  <c r="F90" i="2" s="1"/>
  <c r="E89" i="2"/>
  <c r="F89" i="2" s="1"/>
  <c r="E88" i="2"/>
  <c r="F88" i="2" s="1"/>
  <c r="E78" i="2"/>
  <c r="F78" i="2" s="1"/>
  <c r="E77" i="2"/>
  <c r="F77" i="2" s="1"/>
  <c r="E76" i="2"/>
  <c r="F76" i="2" s="1"/>
  <c r="E75" i="2"/>
  <c r="F75" i="2" s="1"/>
  <c r="E65" i="2"/>
  <c r="F65" i="2" s="1"/>
  <c r="E64" i="2"/>
  <c r="F64" i="2" s="1"/>
  <c r="E63" i="2"/>
  <c r="F63" i="2" s="1"/>
  <c r="E62" i="2"/>
  <c r="F62" i="2" s="1"/>
  <c r="E52" i="2"/>
  <c r="F52" i="2" s="1"/>
  <c r="E51" i="2"/>
  <c r="F51" i="2" s="1"/>
  <c r="E50" i="2"/>
  <c r="F50" i="2" s="1"/>
  <c r="E49" i="2"/>
  <c r="F49" i="2" s="1"/>
  <c r="E40" i="2"/>
  <c r="F40" i="2" s="1"/>
  <c r="E39" i="2"/>
  <c r="F39" i="2" s="1"/>
  <c r="E38" i="2"/>
  <c r="F38" i="2" s="1"/>
  <c r="E37" i="2"/>
  <c r="F37" i="2" s="1"/>
  <c r="E28" i="2"/>
  <c r="F28" i="2" s="1"/>
  <c r="E27" i="2"/>
  <c r="F27" i="2" s="1"/>
  <c r="E26" i="2"/>
  <c r="F26" i="2" s="1"/>
  <c r="E25" i="2"/>
  <c r="F25" i="2" s="1"/>
  <c r="E16" i="2"/>
  <c r="F16" i="2" s="1"/>
  <c r="E8" i="2"/>
  <c r="F8" i="2" s="1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D22" i="5"/>
  <c r="AC22" i="5"/>
  <c r="AB22" i="5"/>
  <c r="AA22" i="5"/>
  <c r="P22" i="5"/>
  <c r="O22" i="5"/>
  <c r="N22" i="5"/>
  <c r="AD21" i="5"/>
  <c r="AC21" i="5"/>
  <c r="AB21" i="5"/>
  <c r="AA21" i="5"/>
  <c r="Z21" i="5"/>
  <c r="Y21" i="5"/>
  <c r="X21" i="5"/>
  <c r="P21" i="5"/>
  <c r="O21" i="5"/>
  <c r="N21" i="5"/>
  <c r="M21" i="5"/>
  <c r="L21" i="5"/>
  <c r="AD20" i="5"/>
  <c r="AC20" i="5"/>
  <c r="AB20" i="5"/>
  <c r="AA20" i="5"/>
  <c r="Z20" i="5"/>
  <c r="Y20" i="5"/>
  <c r="X20" i="5"/>
  <c r="W20" i="5"/>
  <c r="V20" i="5"/>
  <c r="U20" i="5"/>
  <c r="P20" i="5"/>
  <c r="O20" i="5"/>
  <c r="N20" i="5"/>
  <c r="M20" i="5"/>
  <c r="L20" i="5"/>
  <c r="K20" i="5"/>
  <c r="J20" i="5"/>
  <c r="I20" i="5"/>
  <c r="H20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P19" i="5"/>
  <c r="O19" i="5"/>
  <c r="N19" i="5"/>
  <c r="M19" i="5"/>
  <c r="L19" i="5"/>
  <c r="K19" i="5"/>
  <c r="J19" i="5"/>
  <c r="I19" i="5"/>
  <c r="H19" i="5"/>
  <c r="G19" i="5"/>
  <c r="F19" i="5"/>
  <c r="E19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P18" i="5"/>
  <c r="O18" i="5"/>
  <c r="N18" i="5"/>
  <c r="M18" i="5"/>
  <c r="L18" i="5"/>
  <c r="K18" i="5"/>
  <c r="J18" i="5"/>
  <c r="I18" i="5"/>
  <c r="H18" i="5"/>
  <c r="G18" i="5"/>
  <c r="F18" i="5"/>
  <c r="E18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Z14" i="5"/>
  <c r="Y14" i="5"/>
  <c r="W14" i="5"/>
  <c r="V14" i="5"/>
  <c r="U14" i="5"/>
  <c r="T14" i="5"/>
  <c r="S14" i="5"/>
  <c r="R14" i="5"/>
  <c r="P14" i="5"/>
  <c r="O14" i="5"/>
  <c r="N14" i="5"/>
  <c r="K14" i="5"/>
  <c r="J14" i="5"/>
  <c r="I14" i="5"/>
  <c r="H14" i="5"/>
  <c r="G14" i="5"/>
  <c r="F14" i="5"/>
  <c r="E14" i="5"/>
  <c r="D14" i="5"/>
  <c r="C14" i="5"/>
  <c r="B14" i="5"/>
  <c r="AD13" i="5"/>
  <c r="AD14" i="5" s="1"/>
  <c r="AC13" i="5"/>
  <c r="AC14" i="5" s="1"/>
  <c r="AB13" i="5"/>
  <c r="AB14" i="5" s="1"/>
  <c r="AA13" i="5"/>
  <c r="AA14" i="5" s="1"/>
  <c r="Z13" i="5"/>
  <c r="Y13" i="5"/>
  <c r="X13" i="5"/>
  <c r="X14" i="5" s="1"/>
  <c r="W13" i="5"/>
  <c r="V13" i="5"/>
  <c r="U13" i="5"/>
  <c r="M13" i="5"/>
  <c r="M14" i="5" s="1"/>
  <c r="L13" i="5"/>
  <c r="L14" i="5" s="1"/>
  <c r="K13" i="5"/>
  <c r="J13" i="5"/>
  <c r="I13" i="5"/>
  <c r="H13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W9" i="5"/>
  <c r="V9" i="5"/>
  <c r="U9" i="5"/>
  <c r="M9" i="5"/>
  <c r="L9" i="5"/>
  <c r="D9" i="5"/>
  <c r="C9" i="5"/>
  <c r="B9" i="5"/>
  <c r="K8" i="5"/>
  <c r="J8" i="5"/>
  <c r="I8" i="5"/>
  <c r="H8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22" i="4"/>
  <c r="V22" i="4"/>
  <c r="U22" i="4"/>
  <c r="M22" i="4"/>
  <c r="L22" i="4"/>
  <c r="K22" i="4"/>
  <c r="W21" i="4"/>
  <c r="V21" i="4"/>
  <c r="U21" i="4"/>
  <c r="T21" i="4"/>
  <c r="S21" i="4"/>
  <c r="R21" i="4"/>
  <c r="M21" i="4"/>
  <c r="L21" i="4"/>
  <c r="K21" i="4"/>
  <c r="J21" i="4"/>
  <c r="I21" i="4"/>
  <c r="W20" i="4"/>
  <c r="V20" i="4"/>
  <c r="U20" i="4"/>
  <c r="T20" i="4"/>
  <c r="S20" i="4"/>
  <c r="R20" i="4"/>
  <c r="Q20" i="4"/>
  <c r="P20" i="4"/>
  <c r="M20" i="4"/>
  <c r="L20" i="4"/>
  <c r="K20" i="4"/>
  <c r="J20" i="4"/>
  <c r="I20" i="4"/>
  <c r="H20" i="4"/>
  <c r="G20" i="4"/>
  <c r="W19" i="4"/>
  <c r="V19" i="4"/>
  <c r="U19" i="4"/>
  <c r="T19" i="4"/>
  <c r="S19" i="4"/>
  <c r="R19" i="4"/>
  <c r="Q19" i="4"/>
  <c r="P19" i="4"/>
  <c r="M19" i="4"/>
  <c r="L19" i="4"/>
  <c r="K19" i="4"/>
  <c r="J19" i="4"/>
  <c r="I19" i="4"/>
  <c r="H19" i="4"/>
  <c r="G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C343" i="2"/>
  <c r="C330" i="2"/>
  <c r="C317" i="2"/>
  <c r="C304" i="2"/>
  <c r="C291" i="2"/>
  <c r="C278" i="2"/>
  <c r="C269" i="2"/>
  <c r="C265" i="2"/>
  <c r="C256" i="2"/>
  <c r="C252" i="2"/>
  <c r="C243" i="2"/>
  <c r="C239" i="2"/>
  <c r="C230" i="2"/>
  <c r="C226" i="2"/>
  <c r="C187" i="2"/>
  <c r="D29" i="1"/>
  <c r="F29" i="1" s="1"/>
  <c r="E14" i="2" s="1"/>
  <c r="F14" i="2" s="1"/>
  <c r="D28" i="1"/>
  <c r="F28" i="1" s="1"/>
  <c r="D27" i="1"/>
  <c r="F27" i="1" s="1"/>
  <c r="E86" i="2" s="1"/>
  <c r="F86" i="2" s="1"/>
  <c r="D26" i="1"/>
  <c r="F26" i="1" s="1"/>
  <c r="E99" i="3" s="1"/>
  <c r="F99" i="3" s="1"/>
  <c r="D25" i="1"/>
  <c r="F25" i="1" s="1"/>
  <c r="E334" i="2" s="1"/>
  <c r="F334" i="2" s="1"/>
  <c r="D24" i="1"/>
  <c r="F24" i="1" s="1"/>
  <c r="E47" i="2" s="1"/>
  <c r="F47" i="2" s="1"/>
  <c r="D22" i="1"/>
  <c r="F22" i="1" s="1"/>
  <c r="E320" i="2" s="1"/>
  <c r="F320" i="2" s="1"/>
  <c r="F21" i="1"/>
  <c r="E176" i="2" s="1"/>
  <c r="F176" i="2" s="1"/>
  <c r="F20" i="1"/>
  <c r="E176" i="3" s="1"/>
  <c r="F176" i="3" s="1"/>
  <c r="F19" i="1"/>
  <c r="E303" i="2" s="1"/>
  <c r="F303" i="2" s="1"/>
  <c r="E239" i="2"/>
  <c r="F239" i="2" s="1"/>
  <c r="E19" i="2"/>
  <c r="F19" i="2" s="1"/>
  <c r="E11" i="2"/>
  <c r="F11" i="2" s="1"/>
  <c r="E162" i="3" l="1"/>
  <c r="F162" i="3" s="1"/>
  <c r="E43" i="3"/>
  <c r="F43" i="3" s="1"/>
  <c r="E201" i="3"/>
  <c r="F201" i="3" s="1"/>
  <c r="E30" i="3"/>
  <c r="F30" i="3" s="1"/>
  <c r="E56" i="3"/>
  <c r="F56" i="3" s="1"/>
  <c r="E188" i="3"/>
  <c r="F188" i="3" s="1"/>
  <c r="E214" i="3"/>
  <c r="F214" i="3" s="1"/>
  <c r="E295" i="3"/>
  <c r="F295" i="3" s="1"/>
  <c r="E5" i="3"/>
  <c r="F5" i="3" s="1"/>
  <c r="E19" i="3"/>
  <c r="F19" i="3" s="1"/>
  <c r="E33" i="3"/>
  <c r="F33" i="3" s="1"/>
  <c r="E47" i="3"/>
  <c r="F47" i="3" s="1"/>
  <c r="E135" i="3"/>
  <c r="F135" i="3" s="1"/>
  <c r="E149" i="3"/>
  <c r="F149" i="3" s="1"/>
  <c r="E163" i="3"/>
  <c r="F163" i="3" s="1"/>
  <c r="E177" i="3"/>
  <c r="F177" i="3" s="1"/>
  <c r="E191" i="3"/>
  <c r="F191" i="3" s="1"/>
  <c r="E205" i="3"/>
  <c r="F205" i="3" s="1"/>
  <c r="E291" i="3"/>
  <c r="F291" i="3" s="1"/>
  <c r="E6" i="3"/>
  <c r="F6" i="3" s="1"/>
  <c r="E20" i="3"/>
  <c r="F20" i="3" s="1"/>
  <c r="E34" i="3"/>
  <c r="F34" i="3" s="1"/>
  <c r="E120" i="3"/>
  <c r="F120" i="3" s="1"/>
  <c r="E150" i="3"/>
  <c r="F150" i="3" s="1"/>
  <c r="E164" i="3"/>
  <c r="F164" i="3" s="1"/>
  <c r="E178" i="3"/>
  <c r="F178" i="3" s="1"/>
  <c r="E192" i="3"/>
  <c r="F192" i="3" s="1"/>
  <c r="E278" i="3"/>
  <c r="F278" i="3" s="1"/>
  <c r="E292" i="3"/>
  <c r="F292" i="3" s="1"/>
  <c r="E7" i="3"/>
  <c r="F7" i="3" s="1"/>
  <c r="E21" i="3"/>
  <c r="F21" i="3" s="1"/>
  <c r="E107" i="3"/>
  <c r="F107" i="3" s="1"/>
  <c r="E121" i="3"/>
  <c r="F121" i="3" s="1"/>
  <c r="E137" i="3"/>
  <c r="F137" i="3" s="1"/>
  <c r="E151" i="3"/>
  <c r="F151" i="3" s="1"/>
  <c r="E165" i="3"/>
  <c r="F165" i="3" s="1"/>
  <c r="E179" i="3"/>
  <c r="F179" i="3" s="1"/>
  <c r="E265" i="3"/>
  <c r="F265" i="3" s="1"/>
  <c r="E279" i="3"/>
  <c r="F279" i="3" s="1"/>
  <c r="E293" i="3"/>
  <c r="F293" i="3" s="1"/>
  <c r="E8" i="3"/>
  <c r="F8" i="3" s="1"/>
  <c r="E94" i="3"/>
  <c r="F94" i="3" s="1"/>
  <c r="E108" i="3"/>
  <c r="F108" i="3" s="1"/>
  <c r="E122" i="3"/>
  <c r="F122" i="3" s="1"/>
  <c r="E138" i="3"/>
  <c r="F138" i="3" s="1"/>
  <c r="E152" i="3"/>
  <c r="F152" i="3" s="1"/>
  <c r="E166" i="3"/>
  <c r="F166" i="3" s="1"/>
  <c r="E252" i="3"/>
  <c r="F252" i="3" s="1"/>
  <c r="E266" i="3"/>
  <c r="F266" i="3" s="1"/>
  <c r="E280" i="3"/>
  <c r="F280" i="3" s="1"/>
  <c r="E294" i="3"/>
  <c r="F294" i="3" s="1"/>
  <c r="E81" i="3"/>
  <c r="F81" i="3" s="1"/>
  <c r="E95" i="3"/>
  <c r="F95" i="3" s="1"/>
  <c r="E109" i="3"/>
  <c r="F109" i="3" s="1"/>
  <c r="E123" i="3"/>
  <c r="F123" i="3" s="1"/>
  <c r="E139" i="3"/>
  <c r="F139" i="3" s="1"/>
  <c r="E153" i="3"/>
  <c r="F153" i="3" s="1"/>
  <c r="E239" i="3"/>
  <c r="F239" i="3" s="1"/>
  <c r="E267" i="3"/>
  <c r="F267" i="3" s="1"/>
  <c r="E281" i="3"/>
  <c r="F281" i="3" s="1"/>
  <c r="E68" i="3"/>
  <c r="F68" i="3" s="1"/>
  <c r="E82" i="3"/>
  <c r="F82" i="3" s="1"/>
  <c r="E96" i="3"/>
  <c r="F96" i="3" s="1"/>
  <c r="E110" i="3"/>
  <c r="F110" i="3" s="1"/>
  <c r="E124" i="3"/>
  <c r="F124" i="3" s="1"/>
  <c r="E140" i="3"/>
  <c r="F140" i="3" s="1"/>
  <c r="E226" i="3"/>
  <c r="F226" i="3" s="1"/>
  <c r="E240" i="3"/>
  <c r="F240" i="3" s="1"/>
  <c r="E254" i="3"/>
  <c r="F254" i="3" s="1"/>
  <c r="E268" i="3"/>
  <c r="F268" i="3" s="1"/>
  <c r="E282" i="3"/>
  <c r="F282" i="3" s="1"/>
  <c r="E296" i="3"/>
  <c r="F296" i="3" s="1"/>
  <c r="E55" i="3"/>
  <c r="F55" i="3" s="1"/>
  <c r="E69" i="3"/>
  <c r="F69" i="3" s="1"/>
  <c r="E83" i="3"/>
  <c r="F83" i="3" s="1"/>
  <c r="E97" i="3"/>
  <c r="F97" i="3" s="1"/>
  <c r="E111" i="3"/>
  <c r="F111" i="3" s="1"/>
  <c r="E125" i="3"/>
  <c r="F125" i="3" s="1"/>
  <c r="E213" i="3"/>
  <c r="F213" i="3" s="1"/>
  <c r="E241" i="3"/>
  <c r="F241" i="3" s="1"/>
  <c r="E255" i="3"/>
  <c r="F255" i="3" s="1"/>
  <c r="E269" i="3"/>
  <c r="F269" i="3" s="1"/>
  <c r="E283" i="3"/>
  <c r="F283" i="3" s="1"/>
  <c r="E191" i="2"/>
  <c r="F191" i="2" s="1"/>
  <c r="E42" i="3"/>
  <c r="F42" i="3" s="1"/>
  <c r="E70" i="3"/>
  <c r="F70" i="3" s="1"/>
  <c r="E84" i="3"/>
  <c r="F84" i="3" s="1"/>
  <c r="E98" i="3"/>
  <c r="F98" i="3" s="1"/>
  <c r="E112" i="3"/>
  <c r="F112" i="3" s="1"/>
  <c r="E200" i="3"/>
  <c r="F200" i="3" s="1"/>
  <c r="E228" i="3"/>
  <c r="F228" i="3" s="1"/>
  <c r="E242" i="3"/>
  <c r="F242" i="3" s="1"/>
  <c r="E256" i="3"/>
  <c r="F256" i="3" s="1"/>
  <c r="E270" i="3"/>
  <c r="F270" i="3" s="1"/>
  <c r="E29" i="3"/>
  <c r="F29" i="3" s="1"/>
  <c r="E57" i="3"/>
  <c r="F57" i="3" s="1"/>
  <c r="E71" i="3"/>
  <c r="F71" i="3" s="1"/>
  <c r="E85" i="3"/>
  <c r="F85" i="3" s="1"/>
  <c r="E187" i="3"/>
  <c r="F187" i="3" s="1"/>
  <c r="E215" i="3"/>
  <c r="F215" i="3" s="1"/>
  <c r="E229" i="3"/>
  <c r="F229" i="3" s="1"/>
  <c r="E243" i="3"/>
  <c r="F243" i="3" s="1"/>
  <c r="E257" i="3"/>
  <c r="F257" i="3" s="1"/>
  <c r="E16" i="3"/>
  <c r="F16" i="3" s="1"/>
  <c r="E44" i="3"/>
  <c r="F44" i="3" s="1"/>
  <c r="E58" i="3"/>
  <c r="F58" i="3" s="1"/>
  <c r="E72" i="3"/>
  <c r="F72" i="3" s="1"/>
  <c r="E86" i="3"/>
  <c r="F86" i="3" s="1"/>
  <c r="E174" i="3"/>
  <c r="F174" i="3" s="1"/>
  <c r="E202" i="3"/>
  <c r="F202" i="3" s="1"/>
  <c r="E216" i="3"/>
  <c r="F216" i="3" s="1"/>
  <c r="E230" i="3"/>
  <c r="F230" i="3" s="1"/>
  <c r="E244" i="3"/>
  <c r="F244" i="3" s="1"/>
  <c r="E3" i="3"/>
  <c r="F3" i="3" s="1"/>
  <c r="E17" i="3"/>
  <c r="F17" i="3" s="1"/>
  <c r="E31" i="3"/>
  <c r="F31" i="3" s="1"/>
  <c r="E45" i="3"/>
  <c r="F45" i="3" s="1"/>
  <c r="E59" i="3"/>
  <c r="F59" i="3" s="1"/>
  <c r="E73" i="3"/>
  <c r="F73" i="3" s="1"/>
  <c r="E161" i="3"/>
  <c r="F161" i="3" s="1"/>
  <c r="E189" i="3"/>
  <c r="F189" i="3" s="1"/>
  <c r="E203" i="3"/>
  <c r="F203" i="3" s="1"/>
  <c r="E217" i="3"/>
  <c r="F217" i="3" s="1"/>
  <c r="E231" i="3"/>
  <c r="F231" i="3" s="1"/>
  <c r="E4" i="3"/>
  <c r="F4" i="3" s="1"/>
  <c r="E18" i="3"/>
  <c r="F18" i="3" s="1"/>
  <c r="E32" i="3"/>
  <c r="F32" i="3" s="1"/>
  <c r="E46" i="3"/>
  <c r="F46" i="3" s="1"/>
  <c r="E60" i="3"/>
  <c r="F60" i="3" s="1"/>
  <c r="E148" i="3"/>
  <c r="F148" i="3" s="1"/>
  <c r="E190" i="3"/>
  <c r="F190" i="3" s="1"/>
  <c r="E204" i="3"/>
  <c r="F204" i="3" s="1"/>
  <c r="E218" i="3"/>
  <c r="F218" i="3" s="1"/>
  <c r="E165" i="2"/>
  <c r="F165" i="2" s="1"/>
  <c r="E152" i="2"/>
  <c r="F152" i="2" s="1"/>
  <c r="E178" i="2"/>
  <c r="F178" i="2" s="1"/>
  <c r="E22" i="2"/>
  <c r="F22" i="2" s="1"/>
  <c r="E83" i="2"/>
  <c r="F83" i="2" s="1"/>
  <c r="E109" i="2"/>
  <c r="F109" i="2" s="1"/>
  <c r="E85" i="2"/>
  <c r="F85" i="2" s="1"/>
  <c r="E279" i="2"/>
  <c r="F279" i="2" s="1"/>
  <c r="E282" i="2"/>
  <c r="F282" i="2" s="1"/>
  <c r="E214" i="2"/>
  <c r="F214" i="2" s="1"/>
  <c r="E57" i="2"/>
  <c r="F57" i="2" s="1"/>
  <c r="E35" i="2"/>
  <c r="F35" i="2" s="1"/>
  <c r="E201" i="2"/>
  <c r="F201" i="2" s="1"/>
  <c r="E269" i="2"/>
  <c r="F269" i="2" s="1"/>
  <c r="E112" i="2"/>
  <c r="F112" i="2" s="1"/>
  <c r="E138" i="2"/>
  <c r="F138" i="2" s="1"/>
  <c r="E69" i="2"/>
  <c r="F69" i="2" s="1"/>
  <c r="E216" i="2"/>
  <c r="F216" i="2" s="1"/>
  <c r="E304" i="2"/>
  <c r="F304" i="2" s="1"/>
  <c r="E217" i="2"/>
  <c r="F217" i="2" s="1"/>
  <c r="E307" i="2"/>
  <c r="F307" i="2" s="1"/>
  <c r="E164" i="2"/>
  <c r="F164" i="2" s="1"/>
  <c r="E204" i="2"/>
  <c r="F204" i="2" s="1"/>
  <c r="E229" i="2"/>
  <c r="F229" i="2" s="1"/>
  <c r="E294" i="2"/>
  <c r="F294" i="2" s="1"/>
  <c r="E344" i="2"/>
  <c r="F344" i="2" s="1"/>
  <c r="E6" i="2"/>
  <c r="F6" i="2" s="1"/>
  <c r="E292" i="2"/>
  <c r="F292" i="2" s="1"/>
  <c r="E295" i="2"/>
  <c r="F295" i="2" s="1"/>
  <c r="E148" i="2"/>
  <c r="F148" i="2" s="1"/>
  <c r="E94" i="2"/>
  <c r="F94" i="2" s="1"/>
  <c r="E124" i="2"/>
  <c r="F124" i="2" s="1"/>
  <c r="E161" i="2"/>
  <c r="F161" i="2" s="1"/>
  <c r="E177" i="2"/>
  <c r="F177" i="2" s="1"/>
  <c r="E226" i="2"/>
  <c r="F226" i="2" s="1"/>
  <c r="E241" i="2"/>
  <c r="F241" i="2" s="1"/>
  <c r="E256" i="2"/>
  <c r="F256" i="2" s="1"/>
  <c r="E321" i="2"/>
  <c r="F321" i="2" s="1"/>
  <c r="E7" i="2"/>
  <c r="F7" i="2" s="1"/>
  <c r="E23" i="2"/>
  <c r="F23" i="2" s="1"/>
  <c r="E81" i="2"/>
  <c r="F81" i="2" s="1"/>
  <c r="E95" i="2"/>
  <c r="F95" i="2" s="1"/>
  <c r="E110" i="2"/>
  <c r="F110" i="2" s="1"/>
  <c r="E125" i="2"/>
  <c r="F125" i="2" s="1"/>
  <c r="E162" i="2"/>
  <c r="F162" i="2" s="1"/>
  <c r="E212" i="2"/>
  <c r="F212" i="2" s="1"/>
  <c r="E227" i="2"/>
  <c r="F227" i="2" s="1"/>
  <c r="E242" i="2"/>
  <c r="F242" i="2" s="1"/>
  <c r="E290" i="2"/>
  <c r="F290" i="2" s="1"/>
  <c r="E305" i="2"/>
  <c r="F305" i="2" s="1"/>
  <c r="E68" i="2"/>
  <c r="F68" i="2" s="1"/>
  <c r="E82" i="2"/>
  <c r="F82" i="2" s="1"/>
  <c r="E96" i="2"/>
  <c r="F96" i="2" s="1"/>
  <c r="E111" i="2"/>
  <c r="F111" i="2" s="1"/>
  <c r="E147" i="2"/>
  <c r="F147" i="2" s="1"/>
  <c r="E163" i="2"/>
  <c r="F163" i="2" s="1"/>
  <c r="E213" i="2"/>
  <c r="F213" i="2" s="1"/>
  <c r="E228" i="2"/>
  <c r="F228" i="2" s="1"/>
  <c r="E243" i="2"/>
  <c r="F243" i="2" s="1"/>
  <c r="E291" i="2"/>
  <c r="F291" i="2" s="1"/>
  <c r="E306" i="2"/>
  <c r="F306" i="2" s="1"/>
  <c r="E55" i="2"/>
  <c r="F55" i="2" s="1"/>
  <c r="E97" i="2"/>
  <c r="F97" i="2" s="1"/>
  <c r="E199" i="2"/>
  <c r="F199" i="2" s="1"/>
  <c r="E277" i="2"/>
  <c r="F277" i="2" s="1"/>
  <c r="E342" i="2"/>
  <c r="F342" i="2" s="1"/>
  <c r="E56" i="2"/>
  <c r="F56" i="2" s="1"/>
  <c r="E70" i="2"/>
  <c r="F70" i="2" s="1"/>
  <c r="E84" i="2"/>
  <c r="F84" i="2" s="1"/>
  <c r="E98" i="2"/>
  <c r="F98" i="2" s="1"/>
  <c r="E149" i="2"/>
  <c r="F149" i="2" s="1"/>
  <c r="E200" i="2"/>
  <c r="F200" i="2" s="1"/>
  <c r="E215" i="2"/>
  <c r="F215" i="2" s="1"/>
  <c r="E230" i="2"/>
  <c r="F230" i="2" s="1"/>
  <c r="E278" i="2"/>
  <c r="F278" i="2" s="1"/>
  <c r="E293" i="2"/>
  <c r="F293" i="2" s="1"/>
  <c r="E308" i="2"/>
  <c r="F308" i="2" s="1"/>
  <c r="E343" i="2"/>
  <c r="F343" i="2" s="1"/>
  <c r="E43" i="2"/>
  <c r="F43" i="2" s="1"/>
  <c r="E99" i="2"/>
  <c r="F99" i="2" s="1"/>
  <c r="E44" i="2"/>
  <c r="F44" i="2" s="1"/>
  <c r="E58" i="2"/>
  <c r="F58" i="2" s="1"/>
  <c r="E72" i="2"/>
  <c r="F72" i="2" s="1"/>
  <c r="E151" i="2"/>
  <c r="F151" i="2" s="1"/>
  <c r="E187" i="2"/>
  <c r="F187" i="2" s="1"/>
  <c r="E202" i="2"/>
  <c r="F202" i="2" s="1"/>
  <c r="E265" i="2"/>
  <c r="F265" i="2" s="1"/>
  <c r="E280" i="2"/>
  <c r="F280" i="2" s="1"/>
  <c r="E330" i="2"/>
  <c r="F330" i="2" s="1"/>
  <c r="E345" i="2"/>
  <c r="F345" i="2" s="1"/>
  <c r="E15" i="2"/>
  <c r="F15" i="2" s="1"/>
  <c r="E45" i="2"/>
  <c r="F45" i="2" s="1"/>
  <c r="E59" i="2"/>
  <c r="F59" i="2" s="1"/>
  <c r="E73" i="2"/>
  <c r="F73" i="2" s="1"/>
  <c r="E133" i="2"/>
  <c r="F133" i="2" s="1"/>
  <c r="E188" i="2"/>
  <c r="F188" i="2" s="1"/>
  <c r="E203" i="2"/>
  <c r="F203" i="2" s="1"/>
  <c r="E251" i="2"/>
  <c r="F251" i="2" s="1"/>
  <c r="E266" i="2"/>
  <c r="F266" i="2" s="1"/>
  <c r="E281" i="2"/>
  <c r="F281" i="2" s="1"/>
  <c r="E316" i="2"/>
  <c r="F316" i="2" s="1"/>
  <c r="E331" i="2"/>
  <c r="F331" i="2" s="1"/>
  <c r="E346" i="2"/>
  <c r="F346" i="2" s="1"/>
  <c r="E13" i="2"/>
  <c r="F13" i="2" s="1"/>
  <c r="E150" i="2"/>
  <c r="F150" i="2" s="1"/>
  <c r="E264" i="2"/>
  <c r="F264" i="2" s="1"/>
  <c r="E329" i="2"/>
  <c r="F329" i="2" s="1"/>
  <c r="E32" i="2"/>
  <c r="F32" i="2" s="1"/>
  <c r="E46" i="2"/>
  <c r="F46" i="2" s="1"/>
  <c r="E60" i="2"/>
  <c r="F60" i="2" s="1"/>
  <c r="E135" i="2"/>
  <c r="F135" i="2" s="1"/>
  <c r="E173" i="2"/>
  <c r="F173" i="2" s="1"/>
  <c r="E189" i="2"/>
  <c r="F189" i="2" s="1"/>
  <c r="E252" i="2"/>
  <c r="F252" i="2" s="1"/>
  <c r="E267" i="2"/>
  <c r="F267" i="2" s="1"/>
  <c r="E317" i="2"/>
  <c r="F317" i="2" s="1"/>
  <c r="E332" i="2"/>
  <c r="F332" i="2" s="1"/>
  <c r="E347" i="2"/>
  <c r="F347" i="2" s="1"/>
  <c r="E3" i="2"/>
  <c r="F3" i="2" s="1"/>
  <c r="E33" i="2"/>
  <c r="F33" i="2" s="1"/>
  <c r="E120" i="2"/>
  <c r="F120" i="2" s="1"/>
  <c r="E136" i="2"/>
  <c r="F136" i="2" s="1"/>
  <c r="E190" i="2"/>
  <c r="F190" i="2" s="1"/>
  <c r="E238" i="2"/>
  <c r="F238" i="2" s="1"/>
  <c r="E253" i="2"/>
  <c r="F253" i="2" s="1"/>
  <c r="E268" i="2"/>
  <c r="F268" i="2" s="1"/>
  <c r="E318" i="2"/>
  <c r="F318" i="2" s="1"/>
  <c r="E333" i="2"/>
  <c r="F333" i="2" s="1"/>
  <c r="E71" i="2"/>
  <c r="F71" i="2" s="1"/>
  <c r="E186" i="2"/>
  <c r="F186" i="2" s="1"/>
  <c r="E20" i="2"/>
  <c r="F20" i="2" s="1"/>
  <c r="E34" i="2"/>
  <c r="F34" i="2" s="1"/>
  <c r="E122" i="2"/>
  <c r="F122" i="2" s="1"/>
  <c r="E137" i="2"/>
  <c r="F137" i="2" s="1"/>
  <c r="E175" i="2"/>
  <c r="F175" i="2" s="1"/>
  <c r="E254" i="2"/>
  <c r="F254" i="2" s="1"/>
  <c r="E319" i="2"/>
  <c r="F319" i="2" s="1"/>
  <c r="E5" i="2"/>
  <c r="F5" i="2" s="1"/>
  <c r="E21" i="2"/>
  <c r="F21" i="2" s="1"/>
  <c r="E107" i="2"/>
  <c r="F107" i="2" s="1"/>
  <c r="E123" i="2"/>
  <c r="F123" i="2" s="1"/>
  <c r="E160" i="2"/>
  <c r="F160" i="2" s="1"/>
  <c r="E225" i="2"/>
  <c r="F225" i="2" s="1"/>
  <c r="E240" i="2"/>
  <c r="F240" i="2" s="1"/>
  <c r="E255" i="2"/>
  <c r="F255" i="2" s="1"/>
  <c r="E134" i="2"/>
  <c r="F134" i="2" s="1"/>
  <c r="E121" i="2"/>
  <c r="F121" i="2" s="1"/>
  <c r="F118" i="3" l="1"/>
  <c r="I11" i="3" s="1"/>
  <c r="F211" i="3"/>
  <c r="I18" i="3" s="1"/>
  <c r="F105" i="3"/>
  <c r="I10" i="3" s="1"/>
  <c r="F224" i="3"/>
  <c r="I19" i="3" s="1"/>
  <c r="F92" i="3"/>
  <c r="I9" i="3" s="1"/>
  <c r="F40" i="3"/>
  <c r="I5" i="3" s="1"/>
  <c r="F263" i="3"/>
  <c r="I22" i="3" s="1"/>
  <c r="F302" i="3"/>
  <c r="I25" i="3" s="1"/>
  <c r="F237" i="3"/>
  <c r="I20" i="3" s="1"/>
  <c r="F198" i="3"/>
  <c r="I17" i="3" s="1"/>
  <c r="F289" i="3"/>
  <c r="I24" i="3" s="1"/>
  <c r="F185" i="3"/>
  <c r="I16" i="3" s="1"/>
  <c r="F53" i="3"/>
  <c r="I6" i="3" s="1"/>
  <c r="F66" i="3"/>
  <c r="I7" i="3" s="1"/>
  <c r="F79" i="3"/>
  <c r="I8" i="3" s="1"/>
  <c r="F276" i="3"/>
  <c r="I23" i="3" s="1"/>
  <c r="F14" i="3"/>
  <c r="I3" i="3" s="1"/>
  <c r="F172" i="3"/>
  <c r="I15" i="3" s="1"/>
  <c r="F146" i="3"/>
  <c r="I13" i="3" s="1"/>
  <c r="F159" i="3"/>
  <c r="I14" i="3" s="1"/>
  <c r="F131" i="3"/>
  <c r="I12" i="3" s="1"/>
  <c r="F250" i="3"/>
  <c r="I21" i="3" s="1"/>
  <c r="F53" i="2"/>
  <c r="I6" i="2" s="1"/>
  <c r="F27" i="3"/>
  <c r="I4" i="3" s="1"/>
  <c r="F314" i="2"/>
  <c r="I26" i="2" s="1"/>
  <c r="F249" i="2"/>
  <c r="I21" i="2" s="1"/>
  <c r="F210" i="2"/>
  <c r="I18" i="2" s="1"/>
  <c r="F327" i="2"/>
  <c r="I27" i="2" s="1"/>
  <c r="F288" i="2"/>
  <c r="I24" i="2" s="1"/>
  <c r="F171" i="2"/>
  <c r="I15" i="2" s="1"/>
  <c r="F197" i="2"/>
  <c r="I17" i="2" s="1"/>
  <c r="F275" i="2"/>
  <c r="I23" i="2" s="1"/>
  <c r="F223" i="2"/>
  <c r="I19" i="2" s="1"/>
  <c r="F262" i="2"/>
  <c r="F340" i="2"/>
  <c r="I28" i="2" s="1"/>
  <c r="F353" i="2"/>
  <c r="I29" i="2" s="1"/>
  <c r="F158" i="2"/>
  <c r="I14" i="2" s="1"/>
  <c r="F236" i="2"/>
  <c r="I20" i="2" s="1"/>
  <c r="F184" i="2"/>
  <c r="I16" i="2" s="1"/>
  <c r="F301" i="2"/>
  <c r="I25" i="2" s="1"/>
  <c r="F79" i="2"/>
  <c r="I8" i="2" s="1"/>
  <c r="F9" i="2"/>
  <c r="I2" i="2" s="1"/>
  <c r="F66" i="2"/>
  <c r="I7" i="2" s="1"/>
  <c r="F144" i="2"/>
  <c r="I13" i="2" s="1"/>
  <c r="F17" i="2"/>
  <c r="I3" i="2" s="1"/>
  <c r="F131" i="2"/>
  <c r="I12" i="2" s="1"/>
  <c r="F118" i="2"/>
  <c r="I11" i="2" s="1"/>
  <c r="F29" i="2"/>
  <c r="I4" i="2" s="1"/>
  <c r="F41" i="2"/>
  <c r="I5" i="2" s="1"/>
  <c r="F105" i="2"/>
  <c r="I10" i="2" s="1"/>
  <c r="F92" i="2"/>
  <c r="I9" i="2" s="1"/>
  <c r="B32" i="6" l="1"/>
  <c r="B25" i="6"/>
  <c r="B46" i="6"/>
  <c r="B16" i="6"/>
  <c r="B10" i="6"/>
  <c r="B45" i="6"/>
  <c r="B26" i="6"/>
  <c r="B38" i="6"/>
  <c r="B29" i="6"/>
  <c r="B31" i="6"/>
  <c r="B43" i="6"/>
  <c r="B11" i="6"/>
  <c r="B28" i="6"/>
  <c r="B51" i="6"/>
  <c r="B42" i="6"/>
  <c r="B37" i="6"/>
  <c r="B15" i="6"/>
  <c r="B30" i="6"/>
  <c r="B27" i="6"/>
  <c r="B9" i="6"/>
  <c r="B35" i="6"/>
  <c r="B21" i="6"/>
  <c r="B5" i="6"/>
  <c r="B33" i="6"/>
  <c r="B12" i="6"/>
  <c r="B44" i="6"/>
  <c r="B39" i="6"/>
  <c r="B47" i="6"/>
  <c r="B8" i="6"/>
  <c r="B36" i="6"/>
  <c r="B50" i="6"/>
  <c r="B18" i="6"/>
  <c r="B20" i="6"/>
  <c r="B34" i="6"/>
  <c r="B14" i="6"/>
  <c r="B48" i="6"/>
  <c r="B3" i="6"/>
  <c r="B19" i="6"/>
  <c r="B13" i="6"/>
  <c r="B23" i="6"/>
  <c r="B41" i="6"/>
  <c r="B52" i="6"/>
  <c r="B2" i="6"/>
  <c r="B7" i="6"/>
  <c r="B17" i="6"/>
  <c r="B40" i="6"/>
  <c r="B49" i="6"/>
  <c r="B24" i="6"/>
  <c r="I22" i="2"/>
  <c r="B4" i="6"/>
  <c r="B22" i="6" l="1"/>
</calcChain>
</file>

<file path=xl/sharedStrings.xml><?xml version="1.0" encoding="utf-8"?>
<sst xmlns="http://schemas.openxmlformats.org/spreadsheetml/2006/main" count="4103" uniqueCount="409">
  <si>
    <t>Victron Energy</t>
  </si>
  <si>
    <t>MultiPlus-II 48/3000/35-32</t>
  </si>
  <si>
    <t>PMP482305010</t>
  </si>
  <si>
    <t>EUR</t>
  </si>
  <si>
    <t>MultiPlus-II 48/3000/35-32 GX</t>
  </si>
  <si>
    <t>PMP482306000</t>
  </si>
  <si>
    <t>MultiPlus-II 48/5000/70-50</t>
  </si>
  <si>
    <t>PMP482505010</t>
  </si>
  <si>
    <t>MultiPlus-II 48/5000/70-50-GX</t>
  </si>
  <si>
    <t>PMP482506000</t>
  </si>
  <si>
    <t>MultiPlus-II 48/8000/110-100</t>
  </si>
  <si>
    <t>PMP482805000</t>
  </si>
  <si>
    <t>MultiPlus-II 48/10000/140-100</t>
  </si>
  <si>
    <t>PMP483105000</t>
  </si>
  <si>
    <t>MultiPlus-II 48/15000/200-100</t>
  </si>
  <si>
    <t>PMP483150000</t>
  </si>
  <si>
    <t>Quattro 48/5000/70-100/100</t>
  </si>
  <si>
    <t>QUA485021010</t>
  </si>
  <si>
    <t>Quattro-II 48/5000/70-50/50</t>
  </si>
  <si>
    <t>QUA482504010</t>
  </si>
  <si>
    <t>Quattro 48/8000/110-100/100</t>
  </si>
  <si>
    <t>QUA488024000</t>
  </si>
  <si>
    <t>Quattro 48/10000/140-100/100</t>
  </si>
  <si>
    <t>QUA481030010</t>
  </si>
  <si>
    <t>Quattro 48/15000/200-100/100</t>
  </si>
  <si>
    <t>QUA483150000</t>
  </si>
  <si>
    <t>Cerbo GX MK2</t>
  </si>
  <si>
    <t>BPP900451100</t>
  </si>
  <si>
    <t>LYN020102000</t>
  </si>
  <si>
    <t>Battery switch on/off 275A</t>
  </si>
  <si>
    <t>VBS127010010</t>
  </si>
  <si>
    <t>MEGA-fuse 100A/80V</t>
  </si>
  <si>
    <t>CIP138100020</t>
  </si>
  <si>
    <t>MEGA-fuse 200A/80V</t>
  </si>
  <si>
    <t>CIP138200020</t>
  </si>
  <si>
    <t>MEGA-fuse 250A/80V</t>
  </si>
  <si>
    <t>CIP138250020</t>
  </si>
  <si>
    <t>MEGA-fuse 300A/80V</t>
  </si>
  <si>
    <t>CIP138300020</t>
  </si>
  <si>
    <t>MEGA-fuse 400A/80V</t>
  </si>
  <si>
    <t>CIP138400020</t>
  </si>
  <si>
    <t>MEGA-fuse 500A/80V</t>
  </si>
  <si>
    <t>CIP138500020</t>
  </si>
  <si>
    <t>Тримач запобіжника Victron для MEGA-fuse</t>
  </si>
  <si>
    <t>CIP000100001</t>
  </si>
  <si>
    <t>Sacred Sun</t>
  </si>
  <si>
    <t>Total Energo</t>
  </si>
  <si>
    <t>Налаштування інвертора MultiPlus з LiFePO₄ акумуляторами</t>
  </si>
  <si>
    <t>Налаштування інвертора Quattro з LiFePO₄ акумуляторами</t>
  </si>
  <si>
    <t>Інсталяційний набір витратних матеріалів 230В 3-5кВт</t>
  </si>
  <si>
    <t>INS48305080</t>
  </si>
  <si>
    <t>Інсталяційний набір витратних матеріалів 230В 10-15кВт</t>
  </si>
  <si>
    <t>INS48100150</t>
  </si>
  <si>
    <t>Інсталяційний набір витратних матеріалів 400В 15-20кВт</t>
  </si>
  <si>
    <t>INS48150200</t>
  </si>
  <si>
    <t>Інсталяційний набір витратних матеріалів 400В 24-30кВт</t>
  </si>
  <si>
    <t>INS48250300</t>
  </si>
  <si>
    <t>Стійка для АКБ 16U</t>
  </si>
  <si>
    <t>ESR1916U</t>
  </si>
  <si>
    <t>Стійка для АКБ 24U</t>
  </si>
  <si>
    <t>ESR1924U</t>
  </si>
  <si>
    <t>Стійка для АКБ 32U</t>
  </si>
  <si>
    <t>ESR1932U</t>
  </si>
  <si>
    <t>Полиця для АКБ</t>
  </si>
  <si>
    <t>ESS1901U</t>
  </si>
  <si>
    <t>Комплект безперебійного живлення TMS 230В 3кВА – 2,4кВт з акумулятором 5кВт*г</t>
  </si>
  <si>
    <t>TMS4801001003</t>
  </si>
  <si>
    <t>Комплект безперебійного живлення TMS 230В 3кВА – 2,4кВт з акумулятором 5кВт*г з WiFi</t>
  </si>
  <si>
    <t>TMS4801001003GX</t>
  </si>
  <si>
    <t>Комплект безперебійного живлення TMS 230В 5кВА – 4кВт з акумулятором 10кВт*г</t>
  </si>
  <si>
    <t>TMS4802001005</t>
  </si>
  <si>
    <t>Комплект безперебійного живлення TMS 230В 5кВА – 4кВт з акумулятором 10кВт*г з WiFi</t>
  </si>
  <si>
    <t>TMS4802001005GX</t>
  </si>
  <si>
    <t>Комплект безперебійного живлення TMS 230В 5кВА – 4кВт з акумулятором 15кВт*г з WiFi</t>
  </si>
  <si>
    <t>TMS4803001005GX</t>
  </si>
  <si>
    <t>Комплект безперебійного живлення TMS 230В 8кВА – 6,4кВт з акумулятором 10кВт*г з WiFi</t>
  </si>
  <si>
    <t>TMS4802001008GX</t>
  </si>
  <si>
    <t>Комплект безперебійного живлення TMS 230В 8кВА – 6,4кВт з акумулятором 15кВт*г з WiFi</t>
  </si>
  <si>
    <t>TMS4803001008GX</t>
  </si>
  <si>
    <t>Комплект безперебійного живлення TMS 230В 10кВА – 8кВт з акумулятором 15кВт*г з WiFi</t>
  </si>
  <si>
    <t>TMS4803001010GX</t>
  </si>
  <si>
    <t>Комплект безперебійного живлення TMS 230В 10кВА – 8кВт з акумулятором 20кВт*г з WiFi</t>
  </si>
  <si>
    <t>TMS4804001010GX</t>
  </si>
  <si>
    <t>Комплект безперебійного живлення TMS 230В 15кВА – 12кВт з акумулятором 20кВт*г з WiFi</t>
  </si>
  <si>
    <t>TMS4804001015GX</t>
  </si>
  <si>
    <t>Комплект безперебійного живлення TMS 230В 15кВА – 12кВт з акумулятором 25кВт*г з WiFi</t>
  </si>
  <si>
    <t>TMS4805001015GX</t>
  </si>
  <si>
    <t>Комплект безперебійного живлення TMS 230В 15кВА – 12кВт з акумулятором 30кВт*г з WiFi</t>
  </si>
  <si>
    <t>TMS4806001015GX</t>
  </si>
  <si>
    <t>Комплекти 400В, трифазні</t>
  </si>
  <si>
    <t>Комплект безперебійного живлення TMS 400В 9кВА – 7,2кВт з акумулятором 10кВт*г з WiFi</t>
  </si>
  <si>
    <t>TMS4802003009GX</t>
  </si>
  <si>
    <t>CIP138125020</t>
  </si>
  <si>
    <t>Комплект безперебійного живлення TMS 400В 9кВА – 7,2кВт з акумулятором 15кВт*г з WiFi</t>
  </si>
  <si>
    <t>TMS4803003009GX</t>
  </si>
  <si>
    <t>Комплект безперебійного живлення TMS 400В 9кВА – 7,2кВт з акумулятором 20кВт*г з WiFi</t>
  </si>
  <si>
    <t>TMS4804003009GX</t>
  </si>
  <si>
    <t>Комплект безперебійного живлення TMS 400В 15кВА – 12кВт з акумулятором 15кВт*г з WiFi</t>
  </si>
  <si>
    <t>TMS4803003015GX</t>
  </si>
  <si>
    <t>Комплект безперебійного живлення TMS 400В 15кВА – 12кВт з акумулятором 20кВт*г з WiFi</t>
  </si>
  <si>
    <t>TMS4804003015GX</t>
  </si>
  <si>
    <t>Комплект безперебійного живлення TMS 400В 15кВА – 12кВт з акумулятором 25кВт*г з WiFi</t>
  </si>
  <si>
    <t>TMS4805003015GX</t>
  </si>
  <si>
    <t>Комплект безперебійного живлення TMS 400В 24кВА – 19,2кВт з акумулятором 25кВт*г з WiFi</t>
  </si>
  <si>
    <t>TMS4805003024GX</t>
  </si>
  <si>
    <t>Комплект безперебійного живлення TMS 400В 24кВА – 19,2кВт з акумулятором 30кВт*г з WiFi</t>
  </si>
  <si>
    <t>TMS4806003024GX</t>
  </si>
  <si>
    <t>Комплект безперебійного живлення TMS 400В 24кВА – 19,2кВт з акумулятором 40кВт*г з WiFi</t>
  </si>
  <si>
    <t>TMS4808003024GX</t>
  </si>
  <si>
    <t>Комплект безперебійного живлення TMS 400В 24кВА – 19,2кВт з акумулятором 50кВт*г з WiFi</t>
  </si>
  <si>
    <t>TMS4810003024GX</t>
  </si>
  <si>
    <t>Комплект безперебійного живлення TMS 400В 30кВА – 24кВт з акумулятором 40кВт*г з WiFi</t>
  </si>
  <si>
    <t>TMS4808003030GX</t>
  </si>
  <si>
    <t>Комплект безперебійного живлення TMS 400В 30кВА – 24кВт з акумулятором 50кВт*г з WiFi</t>
  </si>
  <si>
    <t>TMS4810003030GX</t>
  </si>
  <si>
    <t>Комплект безперебійного живлення TMS 400В 30кВА – 24кВт з акумулятором 60кВт*г з WiFi</t>
  </si>
  <si>
    <t>TMS4812003030GX</t>
  </si>
  <si>
    <t>Комплект безперебійного живлення TMS 400В 45кВА – 36кВт з акумулятором 45кВт*г з WiFi</t>
  </si>
  <si>
    <t>TMS4809003045GX</t>
  </si>
  <si>
    <t>Комплект безперебійного живлення TMS 400В 45кВА – 36кВт з акумулятором 60кВт*г з WiFi</t>
  </si>
  <si>
    <t>TMS4812003045GX</t>
  </si>
  <si>
    <t>Комплект безперебійного живлення TMS 400В 45кВА – 36кВт з акумулятором 75кВт*г з WiFi</t>
  </si>
  <si>
    <t>TMS4815003045GX</t>
  </si>
  <si>
    <t>Комплекти 230В, однофазні</t>
  </si>
  <si>
    <t>Комплект безперебійного живлення 230В 5кВА – 4кВт з акумулятором 10кВт*г з WiFi</t>
  </si>
  <si>
    <t>TQS4802001005GX</t>
  </si>
  <si>
    <t>Комплект безперебійного живлення 230В 5кВА – 4кВт з акумулятором 15кВт*г з WiFi</t>
  </si>
  <si>
    <t>TQS4803001005GX</t>
  </si>
  <si>
    <t>Комплект безперебійного живлення 230В 8кВА – 6,4кВт з акумулятором 10кВт*г з WiFi</t>
  </si>
  <si>
    <t>TQS4802001008GX</t>
  </si>
  <si>
    <t>Комплект безперебійного живлення 230В 8кВА – 6,4кВт з акумулятором 15кВт*г з WiFi</t>
  </si>
  <si>
    <t>TQS4803001008GX</t>
  </si>
  <si>
    <t>Комплект безперебійного живлення 230В 10кВА – 8кВт з акумулятором 15кВт*г з WiFi</t>
  </si>
  <si>
    <t>TQS4803001010GX</t>
  </si>
  <si>
    <t>Комплект безперебійного живлення 230В 10кВА – 8кВт з акумулятором 20кВт*г з WiFi</t>
  </si>
  <si>
    <t>TQS4804001010GX</t>
  </si>
  <si>
    <t>Комплект безперебійного живлення 230В 10кВА – 8кВт з акумулятором 25кВт*г з WiFi</t>
  </si>
  <si>
    <t>TQS4805001010GX</t>
  </si>
  <si>
    <t>Комплект безперебійного живлення 230В 15кВА – 12кВт з акумулятором 20кВт*г з WiFi</t>
  </si>
  <si>
    <t>TQS4804001015GX</t>
  </si>
  <si>
    <t>Комплект безперебійного живлення 230В 15кВА – 12кВт з акумулятором 25кВт*г з WiFi</t>
  </si>
  <si>
    <t>TQS4805001015GX</t>
  </si>
  <si>
    <t>Комплект безперебійного живлення 230В 15кВА – 12кВт з акумулятором 30кВт*г з WiFi</t>
  </si>
  <si>
    <t>TQS4806001015GX</t>
  </si>
  <si>
    <t>Комплект безперебійного живлення 400В 15кВА – 12кВт з акумулятором 15кВт*г з WiFi</t>
  </si>
  <si>
    <t>TQS4803003015GX</t>
  </si>
  <si>
    <t>Комплект безперебійного живлення 400В 15кВА – 12кВт з акумулятором 20кВт*г з WiFi</t>
  </si>
  <si>
    <t>TQS4804003015GX</t>
  </si>
  <si>
    <t>Комплект безперебійного живлення 400В 15кВА – 12кВт з акумулятором 25кВт*г з WiFi</t>
  </si>
  <si>
    <t>TQS4805003015GX</t>
  </si>
  <si>
    <t>Комплект безперебійного живлення 400В 24кВА – 19,2кВт з акумулятором 25кВт*г з WiFi</t>
  </si>
  <si>
    <t>Комплект безперебійного живлення 400В 24кВА – 19,2кВт з акумулятором 30кВт*г з WiFi</t>
  </si>
  <si>
    <t>Комплект безперебійного живлення 400В 24кВА – 19,2кВт з акумулятором 40кВт*г з WiFi</t>
  </si>
  <si>
    <t>Комплект безперебійного живлення 400В 30кВА – 24кВт з акумулятором 40кВт*г з WiFi</t>
  </si>
  <si>
    <t>Комплект безперебійного живлення 400В 30кВА – 24кВт з акумулятором 50кВт*г з WiFi</t>
  </si>
  <si>
    <t>Комплект безперебійного живлення 400В 30кВА – 24кВт з акумулятором 60кВт*г з WiFi</t>
  </si>
  <si>
    <t>Комплект безперебійного живлення 400В 45кВА – 36кВт з акумулятором 60кВт*г з WiFi</t>
  </si>
  <si>
    <t>Комплект безперебійного живлення 400В 45кВА – 36кВт з акумулятором 75кВт*г з WiFi</t>
  </si>
  <si>
    <t>Комплект безперебійного живлення 400В 45кВА – 36кВт з акумулятором 90кВт*г з WiFi</t>
  </si>
  <si>
    <t>Комплект безперебійного живлення 400В 45кВА – 36кВт з акумулятором 100кВт*г з WiFi</t>
  </si>
  <si>
    <t>Однофазні – MultiPlus</t>
  </si>
  <si>
    <t>Однофазні – Quattro</t>
  </si>
  <si>
    <t>Параметр</t>
  </si>
  <si>
    <t>Мережа</t>
  </si>
  <si>
    <t>однофазна</t>
  </si>
  <si>
    <t>Вхідна напруга, В</t>
  </si>
  <si>
    <t>Вихідна напруга, В</t>
  </si>
  <si>
    <t>Потужність вихідна від мережі, кВт</t>
  </si>
  <si>
    <t>Потужність вихідна від АКБ, кВА</t>
  </si>
  <si>
    <t>Потужність вихідна від АКБ, кВт</t>
  </si>
  <si>
    <t>Потужнісь вихідна пікова від АКБ, кВт</t>
  </si>
  <si>
    <t>Ємність АКБ, Аг</t>
  </si>
  <si>
    <t>Напруга АКБ, В</t>
  </si>
  <si>
    <t>Запас енергії у АКБ 100%, кВт*г</t>
  </si>
  <si>
    <t>Струм зарядного пристрою, А</t>
  </si>
  <si>
    <t>Час перезаряду 20-100%, годин</t>
  </si>
  <si>
    <t>Час автономії при 1кВт 230В, годин</t>
  </si>
  <si>
    <t>Час автономії при 2кВт 230В, годин</t>
  </si>
  <si>
    <t>Час автономії при 3кВт 230В, годин</t>
  </si>
  <si>
    <t>Час автономії при 4кВт 230В, годин</t>
  </si>
  <si>
    <t>Час автономії при 5кВт 230В, годин</t>
  </si>
  <si>
    <t>Час автономії при 6кВт 230В, годин</t>
  </si>
  <si>
    <t>Час автономії при 8кВт 230В, годин</t>
  </si>
  <si>
    <t>Час автономії при 10кВт 230В, годин</t>
  </si>
  <si>
    <t>Ресурс АКБ, циклів</t>
  </si>
  <si>
    <t>Ресурс АКБ, років</t>
  </si>
  <si>
    <t>Можливість збільшення АКБ</t>
  </si>
  <si>
    <t>Так</t>
  </si>
  <si>
    <t>Модернізація у сонячну станцію</t>
  </si>
  <si>
    <t>Підтримує роботу від генератора</t>
  </si>
  <si>
    <t>через АВР</t>
  </si>
  <si>
    <t>Автоматично</t>
  </si>
  <si>
    <t>Підтримка СЦ через інтернет</t>
  </si>
  <si>
    <t>Опція</t>
  </si>
  <si>
    <t>Контроль через Bluetooth</t>
  </si>
  <si>
    <t>Контроль через Ethernet / WEB</t>
  </si>
  <si>
    <t>Контроль через WiFi / WEB</t>
  </si>
  <si>
    <t>Форма вихідного сигналу</t>
  </si>
  <si>
    <t>Синосоїда</t>
  </si>
  <si>
    <t>ККД системи, %</t>
  </si>
  <si>
    <t>Додавання потужності до мережі</t>
  </si>
  <si>
    <t>Мінімальна температура розряду, °С</t>
  </si>
  <si>
    <t>–20</t>
  </si>
  <si>
    <t>Максимальна температура розряду, °С</t>
  </si>
  <si>
    <t>Мінімальна температура заряду, °С</t>
  </si>
  <si>
    <t>Максимальна температура заряду, °С</t>
  </si>
  <si>
    <t>Призначення</t>
  </si>
  <si>
    <t>аварійне живлення</t>
  </si>
  <si>
    <t>резервне живлення</t>
  </si>
  <si>
    <t>Сфера використання</t>
  </si>
  <si>
    <t>Будинок</t>
  </si>
  <si>
    <t>Квартира</t>
  </si>
  <si>
    <t>Офіс</t>
  </si>
  <si>
    <t>Лікарня</t>
  </si>
  <si>
    <t xml:space="preserve">Стоматологія </t>
  </si>
  <si>
    <t>Ресторан</t>
  </si>
  <si>
    <t>Салон краси</t>
  </si>
  <si>
    <t>Магазин</t>
  </si>
  <si>
    <t>Аптека</t>
  </si>
  <si>
    <t>Банк</t>
  </si>
  <si>
    <t>Школа</t>
  </si>
  <si>
    <t>Дитячий садок</t>
  </si>
  <si>
    <t>Склад</t>
  </si>
  <si>
    <t>Ферма</t>
  </si>
  <si>
    <t>Медичний кабінет</t>
  </si>
  <si>
    <t>Лабораторія</t>
  </si>
  <si>
    <t>Ательє</t>
  </si>
  <si>
    <t>Фітнес-клуб</t>
  </si>
  <si>
    <t>Сервісний центр</t>
  </si>
  <si>
    <t>Відеостудія</t>
  </si>
  <si>
    <t>Об’єкти критичної інфраструктури</t>
  </si>
  <si>
    <t>Насосна станція</t>
  </si>
  <si>
    <t>Оствітлення</t>
  </si>
  <si>
    <t>Кліматична техніка</t>
  </si>
  <si>
    <t>Коворкінги</t>
  </si>
  <si>
    <t>Торгові центри</t>
  </si>
  <si>
    <t>Перукарні</t>
  </si>
  <si>
    <t>Університети</t>
  </si>
  <si>
    <t xml:space="preserve">Дитячі садки </t>
  </si>
  <si>
    <t>Коледжі</t>
  </si>
  <si>
    <t>Ліцеї</t>
  </si>
  <si>
    <t>Освітні онлайн-студії</t>
  </si>
  <si>
    <t>Ветеринарні клініки</t>
  </si>
  <si>
    <t>Холодильники для ліків</t>
  </si>
  <si>
    <t>Холодильні склади</t>
  </si>
  <si>
    <t>Системи вентиляції</t>
  </si>
  <si>
    <t>Теплиці</t>
  </si>
  <si>
    <t>СТО та автомайстерні</t>
  </si>
  <si>
    <t>Інтернет-провайдери</t>
  </si>
  <si>
    <t>Телекомунікаційні вузли</t>
  </si>
  <si>
    <t>Телерадіокомпанії</t>
  </si>
  <si>
    <t>Студії звукозапису та відеопродакшн</t>
  </si>
  <si>
    <t>Трифазні – MultiPlus</t>
  </si>
  <si>
    <t>Трифазні – Quattro</t>
  </si>
  <si>
    <t>трифазна</t>
  </si>
  <si>
    <t>Час автономії при 3кВт 400В, годин</t>
  </si>
  <si>
    <t>Час автономії при 5кВт 400В, годин</t>
  </si>
  <si>
    <t>Час автономії при 7кВт 400В, годин</t>
  </si>
  <si>
    <t>Час автономії при 10кВт 400В, годин</t>
  </si>
  <si>
    <t>Час автономії при 12кВт 400В, годин</t>
  </si>
  <si>
    <t>Час автономії при 15кВт 400В, годин</t>
  </si>
  <si>
    <t>Час автономії при 20кВт 400В, годин</t>
  </si>
  <si>
    <t>Час автономії при 30кВт 400В, годин</t>
  </si>
  <si>
    <t>Артикул</t>
  </si>
  <si>
    <t>Вартість з ПДВ</t>
  </si>
  <si>
    <t>Кількість</t>
  </si>
  <si>
    <t>Варість * Кількість</t>
  </si>
  <si>
    <t>Сума підсумкова</t>
  </si>
  <si>
    <t>Ціна</t>
  </si>
  <si>
    <t>SLSIFP48100A</t>
  </si>
  <si>
    <t>Акумулятор LiFePO4 Sacred Sun SLSIFP48100A(3U) 48В 100Аг з вбудованим BMS та підтримкою CAN-шини</t>
  </si>
  <si>
    <t>Ціна без ПДВ</t>
  </si>
  <si>
    <t>Множник ПДВ</t>
  </si>
  <si>
    <t>Ціна з ПДВ</t>
  </si>
  <si>
    <t>Валюта</t>
  </si>
  <si>
    <t>Відображати</t>
  </si>
  <si>
    <t>Да</t>
  </si>
  <si>
    <t>Наявність</t>
  </si>
  <si>
    <t>В наявності</t>
  </si>
  <si>
    <t>MEGA-fuse 120A/80V</t>
  </si>
  <si>
    <t>1038 USD</t>
  </si>
  <si>
    <t>Налаштування трифазної конфігурації Quattro</t>
  </si>
  <si>
    <t>Назва юа</t>
  </si>
  <si>
    <t>Назва ру</t>
  </si>
  <si>
    <t>Назва мод юа</t>
  </si>
  <si>
    <t>Назва мод ру</t>
  </si>
  <si>
    <t>Комплект безперебійного живлення TMS 230В 3кВА – 2,4кВт з акумулятором 5кВт.г</t>
  </si>
  <si>
    <t>Комплект безперебійного живлення TMS 230В 3кВА – 2,4кВт з акумулятором 5кВт.г з WiFi</t>
  </si>
  <si>
    <t>Комплект безперебійного живлення TMS 230В 5кВА – 4кВт з акумулятором 10кВт.г</t>
  </si>
  <si>
    <t>Комплект безперебійного живлення TMS 230В 5кВА – 4кВт з акумулятором 10кВт.г з WiFi</t>
  </si>
  <si>
    <t>Комплект безперебійного живлення TMS 230В 5кВА – 4кВт з акумулятором 15кВт.г з WiFi</t>
  </si>
  <si>
    <t>Комплект безперебійного живлення TMS 230В 8кВА – 6,4кВт з акумулятором 10кВт.г з WiFi</t>
  </si>
  <si>
    <t>Комплект безперебійного живлення TMS 230В 8кВА – 6,4кВт з акумулятором 15кВт.г з WiFi</t>
  </si>
  <si>
    <t>Комплект безперебійного живлення TMS 230В 10кВА – 8кВт з акумулятором 15кВт.г з WiFi</t>
  </si>
  <si>
    <t>Комплект безперебійного живлення TMS 230В 10кВА – 8кВт з акумулятором 20кВт.г з WiFi</t>
  </si>
  <si>
    <t>Комплект безперебійного живлення TMS 230В 15кВА – 12кВт з акумулятором 20кВт.г з WiFi</t>
  </si>
  <si>
    <t>Комплект безперебійного живлення TMS 230В 15кВА – 12кВт з акумулятором 25кВт.г з WiFi</t>
  </si>
  <si>
    <t>Комплект безперебійного живлення TMS 230В 15кВА – 12кВт з акумулятором 30кВт.г з WiFi</t>
  </si>
  <si>
    <t>Комплект безперебійного живлення TMS 400В 9кВА – 7,2кВт з акумулятором 10кВт.г з WiFi</t>
  </si>
  <si>
    <t>Комплект безперебійного живлення TMS 400В 9кВА – 7,2кВт з акумулятором 15кВт.г з WiFi</t>
  </si>
  <si>
    <t>Комплект безперебійного живлення TMS 400В 9кВА – 7,2кВт з акумулятором 20кВт.г з WiFi</t>
  </si>
  <si>
    <t>Комплект безперебійного живлення TMS 400В 15кВА – 12кВт з акумулятором 15кВт.г з WiFi</t>
  </si>
  <si>
    <t>Комплект безперебійного живлення TMS 400В 15кВА – 12кВт з акумулятором 20кВт.г з WiFi</t>
  </si>
  <si>
    <t>Комплект безперебійного живлення TMS 400В 15кВА – 12кВт з акумулятором 25кВт.г з WiFi</t>
  </si>
  <si>
    <t>Комплект безперебійного живлення TMS 400В 24кВА – 19,2кВт з акумулятором 25кВт.г з WiFi</t>
  </si>
  <si>
    <t>Комплект безперебійного живлення TMS 400В 24кВА – 19,2кВт з акумулятором 30кВт.г з WiFi</t>
  </si>
  <si>
    <t>Комплект безперебійного живлення TMS 400В 24кВА – 19,2кВт з акумулятором 40кВт.г з WiFi</t>
  </si>
  <si>
    <t>Комплект безперебійного живлення TMS 400В 24кВА – 19,2кВт з акумулятором 50кВт.г з WiFi</t>
  </si>
  <si>
    <t>Комплект безперебійного живлення TMS 400В 30кВА – 24кВт з акумулятором 40кВт.г з WiFi</t>
  </si>
  <si>
    <t>Комплект безперебійного живлення TMS 400В 30кВА – 24кВт з акумулятором 50кВт.г з WiFi</t>
  </si>
  <si>
    <t>Комплект безперебійного живлення TMS 400В 30кВА – 24кВт з акумулятором 60кВт.г з WiFi</t>
  </si>
  <si>
    <t>Комплект безперебійного живлення TMS 400В 45кВА – 36кВт з акумулятором 45кВт.г з WiFi</t>
  </si>
  <si>
    <t>Комплект безперебійного живлення TMS 400В 45кВА – 36кВт з акумулятором 60кВт.г з WiFi</t>
  </si>
  <si>
    <t>Комплект безперебійного живлення TMS 400В 45кВА – 36кВт з акумулятором 75кВт.г з WiFi</t>
  </si>
  <si>
    <t>Комплект бесперебойного питания TMS 230В 3 кВА – 2,4 кВт с аккумулятором 5 кВт.ч</t>
  </si>
  <si>
    <t>Комплект бесперебойного питания TMS 230В 3 кВА – 2,4 кВт с аккумулятором 5 кВт.ч с WiFi</t>
  </si>
  <si>
    <t>Комплект бесперебойного питания TMS 230В 5 кВА – 4 кВт с аккумулятором 10 кВт.ч</t>
  </si>
  <si>
    <t>Комплект бесперебойного питания TMS 230В 5 кВА – 4 кВт с аккумулятором 10 кВт.ч с WiFi</t>
  </si>
  <si>
    <t>Комплект бесперебойного питания TMS 230В 5 кВА – 4 кВт с аккумулятором 15 кВт.ч с WiFi</t>
  </si>
  <si>
    <t>Комплект бесперебойного питания TMS 230В 8 кВА – 6,4 кВт с аккумулятором 10 кВт.ч с WiFi</t>
  </si>
  <si>
    <t>Комплект бесперебойного питания TMS 230В 8 кВА – 6,4 кВт с аккумулятором 15 кВт.ч с WiFi</t>
  </si>
  <si>
    <t>Комплект бесперебойного питания TMS 230В 10 кВА – 8 кВт с аккумулятором 15 кВт.ч с WiFi</t>
  </si>
  <si>
    <t>Комплект бесперебойного питания TMS 230В 10 кВА – 8 кВт с аккумулятором 20 кВт.ч с WiFi</t>
  </si>
  <si>
    <t>Комплект бесперебойного питания TMS 230В 15 кВА – 12 кВт с аккумулятором 20 кВт.ч с WiFi</t>
  </si>
  <si>
    <t>Комплект бесперебойного питания TMS 230В 15 кВА – 12 кВт с аккумулятором 25 кВт.ч с WiFi</t>
  </si>
  <si>
    <t>Комплект бесперебойного питания TMS 230В 15 кВА – 12 кВт с аккумулятором 30 кВт.ч с WiFi</t>
  </si>
  <si>
    <t>Комплект бесперебойного питания TMS 400В 9 кВА – 7,2 кВт с аккумулятором 10 кВт.ч с WiFi</t>
  </si>
  <si>
    <t>Комплект бесперебойного питания TMS 400В 9 кВА – 7,2 кВт с аккумулятором 15 кВт.ч с WiFi</t>
  </si>
  <si>
    <t>Комплект бесперебойного питания TMS 400В 9 кВА – 7,2 кВт с аккумулятором 20 кВт.ч с WiFi</t>
  </si>
  <si>
    <t>Комплект бесперебойного питания TMS 400В 15 кВА – 12 кВт с аккумулятором 15 кВт.ч с WiFi</t>
  </si>
  <si>
    <t>Комплект бесперебойного питания TMS 400В 15 кВА – 12 кВт с аккумулятором 20 кВт.ч с WiFi</t>
  </si>
  <si>
    <t>Комплект бесперебойного питания TMS 400В 15 кВА – 12 кВт с аккумулятором 25 кВт.ч с WiFi</t>
  </si>
  <si>
    <t>Комплект бесперебойного питания TMS 400В 24 кВА – 19,2 кВт с аккумулятором 25 кВт.ч с WiFi</t>
  </si>
  <si>
    <t>Комплект бесперебойного питания TMS 400В 24 кВА – 19,2 кВт с аккумулятором 30 кВт.ч с WiFi</t>
  </si>
  <si>
    <t>Комплект бесперебойного питания TMS 400В 24 кВА – 19,2 кВт с аккумулятором 40 кВт.ч с WiFi</t>
  </si>
  <si>
    <t>Комплект бесперебойного питания TMS 400В 24 кВА – 19,2 кВт с аккумулятором 50 кВт.ч с WiFi</t>
  </si>
  <si>
    <t>Комплект бесперебойного питания TMS 400В 30 кВА – 24 кВт с аккумулятором 40 кВт.ч с WiFi</t>
  </si>
  <si>
    <t>Комплект бесперебойного питания TMS 400В 30 кВА – 24 кВт с аккумулятором 50 кВт.ч с WiFi</t>
  </si>
  <si>
    <t>Комплект бесперебойного питания TMS 400В 30 кВА – 24 кВт с аккумулятором 60 кВт.ч с WiFi</t>
  </si>
  <si>
    <t>Комплект бесперебойного питания TMS 400В 45 кВА – 36 кВт с аккумулятором 45 кВт.ч с WiFi</t>
  </si>
  <si>
    <t>Комплект бесперебойного питания TMS 400В 45 кВА – 36 кВт с аккумулятором 60 кВт.ч с WiFi</t>
  </si>
  <si>
    <t>Комплект бесперебойного питания TMS 400В 45 кВА – 36 кВт с аккумулятором 75 кВт.ч с WiFi</t>
  </si>
  <si>
    <t>Комплект бесперебойного питания 230В 5 кВА – 4 кВт с аккумулятором 10 кВт.ч с WiFi</t>
  </si>
  <si>
    <t>Комплект бесперебойного питания 230В 5 кВА – 4 кВт с аккумулятором 15 кВт.ч с WiFi</t>
  </si>
  <si>
    <t>Комплект бесперебойного питания 230В 8 кВА – 6,4 кВт с аккумулятором 10 кВт.ч с WiFi</t>
  </si>
  <si>
    <t>Комплект бесперебойного питания 230В 8 кВА – 6,4 кВт с аккумулятором 15 кВт.ч с WiFi</t>
  </si>
  <si>
    <t>Комплект бесперебойного питания 230В 10 кВА – 8 кВт с аккумулятором 15 кВт.ч с WiFi</t>
  </si>
  <si>
    <t>Комплект бесперебойного питания 230В 10 кВА – 8 кВт с аккумулятором 20 кВт.ч с WiFi</t>
  </si>
  <si>
    <t>Комплект бесперебойного питания 230В 10 кВА – 8 кВт с аккумулятором 25 кВт.ч с WiFi</t>
  </si>
  <si>
    <t>Комплект бесперебойного питания 230В 15 кВА – 12 кВт с аккумулятором 20 кВт.ч с WiFi</t>
  </si>
  <si>
    <t>Комплект бесперебойного питания 230В 15 кВА – 12 кВт с аккумулятором 25 кВт.ч с WiFi</t>
  </si>
  <si>
    <t>Комплект бесперебойного питания 230В 15 кВА – 12 кВт с аккумулятором 30 кВт.ч с WiFi</t>
  </si>
  <si>
    <t>Комплект бесперебойного питания 400В 15 кВА – 12 кВт с аккумулятором 15 кВт.ч с WiFi</t>
  </si>
  <si>
    <t>Комплект бесперебойного питания 400В 15 кВА – 12 кВт с аккумулятором 20 кВт.ч с WiFi</t>
  </si>
  <si>
    <t>Комплект бесперебойного питания 400В 15 кВА – 12 кВт с аккумулятором 25 кВт.ч с WiFi</t>
  </si>
  <si>
    <t>Комплект бесперебойного питания 400В 24 кВА – 19,2 кВт с аккумулятором 25 кВт.ч с WiFi</t>
  </si>
  <si>
    <t>Комплект бесперебойного питания 400В 24 кВА – 19,2 кВт с аккумулятором 30 кВт.ч с WiFi</t>
  </si>
  <si>
    <t>Комплект бесперебойного питания 400В 24 кВА – 19,2 кВт с аккумулятором 40 кВт.ч с WiFi</t>
  </si>
  <si>
    <t>Комплект бесперебойного питания 400В 30 кВА – 24 кВт с аккумулятором 40 кВт.ч с WiFi</t>
  </si>
  <si>
    <t>Комплект бесперебойного питания 400В 30 кВА – 24 кВт с аккумулятором 50 кВт.ч с WiFi</t>
  </si>
  <si>
    <t>Комплект бесперебойного питания 400В 30 кВА – 24 кВт с аккумулятором 60 кВт.ч с WiFi</t>
  </si>
  <si>
    <t>Комплект бесперебойного питания 400В 45 кВА – 36 кВт с аккумулятором 60 кВт.ч с WiFi</t>
  </si>
  <si>
    <t>Комплект бесперебойного питания 400В 45 кВА – 36 кВт с аккумулятором 75 кВт.ч с WiFi</t>
  </si>
  <si>
    <t>Комплект бесперебойного питания 400В 45 кВА – 36 кВт с аккумулятором 90 кВт.ч с WiFi</t>
  </si>
  <si>
    <t>Комплект бесперебойного питания 400В 45 кВА – 36 кВт с аккумулятором 100 кВт.ч с WiFi</t>
  </si>
  <si>
    <t>Комплект безперебійного живлення 230В 5кВА – 4кВт з акумулятором 10кВт.г з WiFi</t>
  </si>
  <si>
    <t>Комплект безперебійного живлення 230В 5кВА – 4кВт з акумулятором 15кВт.г з WiFi</t>
  </si>
  <si>
    <t>Комплект безперебійного живлення 230В 8кВА – 6,4кВт з акумулятором 10кВт.г з WiFi</t>
  </si>
  <si>
    <t>Комплект безперебійного живлення 230В 8кВА – 6,4кВт з акумулятором 15кВт.г з WiFi</t>
  </si>
  <si>
    <t>Комплект безперебійного живлення 230В 10кВА – 8кВт з акумулятором 15кВт.г з WiFi</t>
  </si>
  <si>
    <t>Комплект безперебійного живлення 230В 10кВА – 8кВт з акумулятором 20кВт.г з WiFi</t>
  </si>
  <si>
    <t>Комплект безперебійного живлення 230В 10кВА – 8кВт з акумулятором 25кВт.г з WiFi</t>
  </si>
  <si>
    <t>Комплект безперебійного живлення 230В 15кВА – 12кВт з акумулятором 20кВт.г з WiFi</t>
  </si>
  <si>
    <t>Комплект безперебійного живлення 230В 15кВА – 12кВт з акумулятором 25кВт.г з WiFi</t>
  </si>
  <si>
    <t>Комплект безперебійного живлення 230В 15кВА – 12кВт з акумулятором 30кВт.г з WiFi</t>
  </si>
  <si>
    <t>Комплект безперебійного живлення 400В 15кВА – 12кВт з акумулятором 15кВт.г з WiFi</t>
  </si>
  <si>
    <t>Комплект безперебійного живлення 400В 15кВА – 12кВт з акумулятором 20кВт.г з WiFi</t>
  </si>
  <si>
    <t>Комплект безперебійного живлення 400В 15кВА – 12кВт з акумулятором 25кВт.г з WiFi</t>
  </si>
  <si>
    <t>Комплект безперебійного живлення 400В 24кВА – 19,2кВт з акумулятором 25кВт.г з WiFi</t>
  </si>
  <si>
    <t>Комплект безперебійного живлення 400В 24кВА – 19,2кВт з акумулятором 30кВт.г з WiFi</t>
  </si>
  <si>
    <t>Комплект безперебійного живлення 400В 24кВА – 19,2кВт з акумулятором 40кВт.г з WiFi</t>
  </si>
  <si>
    <t>Комплект безперебійного живлення 400В 30кВА – 24кВт з акумулятором 40кВт.г з WiFi</t>
  </si>
  <si>
    <t>Комплект безперебійного живлення 400В 30кВА – 24кВт з акумулятором 50кВт.г з WiFi</t>
  </si>
  <si>
    <t>Комплект безперебійного живлення 400В 30кВА – 24кВт з акумулятором 60кВт.г з WiFi</t>
  </si>
  <si>
    <t>Комплект безперебійного живлення 400В 45кВА – 36кВт з акумулятором 60кВт.г з WiFi</t>
  </si>
  <si>
    <t>Комплект безперебійного живлення 400В 45кВА – 36кВт з акумулятором 75кВт.г з WiFi</t>
  </si>
  <si>
    <t>Комплект безперебійного живлення 400В 45кВА – 36кВт з акумулятором 90кВт.г з WiFi</t>
  </si>
  <si>
    <t>Комплект безперебійного живлення 400В 45кВА – 36кВт з акумулятором 100кВт.г з WiFi</t>
  </si>
  <si>
    <t>Раздел</t>
  </si>
  <si>
    <t>Каталог/Комплекти безперебійного живлення</t>
  </si>
  <si>
    <t>текст юа</t>
  </si>
  <si>
    <t>текст ру</t>
  </si>
  <si>
    <t>TQS4805003024GX</t>
  </si>
  <si>
    <t>TQS4806003024GX</t>
  </si>
  <si>
    <t>TQS4808003024GX</t>
  </si>
  <si>
    <t>TQS4808003030GX</t>
  </si>
  <si>
    <t>TQS4810003030GX</t>
  </si>
  <si>
    <t>TQS4812003030GX</t>
  </si>
  <si>
    <t>TQS4812003045GX</t>
  </si>
  <si>
    <t>TQS4815003045GX</t>
  </si>
  <si>
    <t>TQS4818003045GX</t>
  </si>
  <si>
    <t>TQS4820003045GX</t>
  </si>
  <si>
    <t>Налаштування трифазної конфігурації MultiPlus</t>
  </si>
  <si>
    <t>стара ціна</t>
  </si>
  <si>
    <t>SUNPOW51100</t>
  </si>
  <si>
    <t>Sunlight</t>
  </si>
  <si>
    <t>Акумулятор Sunlight Power ESS 51.2V 100Ah LiFePO4</t>
  </si>
  <si>
    <t>PMP482505012</t>
  </si>
  <si>
    <t>Lynx Power In (M10)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</si>
</sst>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9C0006"/>
      <name val="Arial"/>
      <family val="2"/>
      <charset val="204"/>
      <scheme val="minor"/>
    </font>
    <font>
      <b/>
      <sz val="11"/>
      <color rgb="FF3F3F3F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0"/>
      <color rgb="FFFF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3" fillId="6" borderId="0" applyNumberFormat="0" applyBorder="0" applyAlignment="0" applyProtection="0"/>
    <xf numFmtId="0" fontId="4" fillId="7" borderId="1" applyNumberFormat="0" applyAlignment="0" applyProtection="0"/>
  </cellStyleXfs>
  <cellXfs count="4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6" borderId="0" xfId="1" applyAlignment="1"/>
    <xf numFmtId="0" fontId="0" fillId="0" borderId="0" xfId="0"/>
    <xf numFmtId="0" fontId="4" fillId="7" borderId="1" xfId="2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/>
    <xf numFmtId="0" fontId="0" fillId="0" borderId="0" xfId="0" applyFont="1" applyAlignment="1">
      <alignment wrapText="1"/>
    </xf>
    <xf numFmtId="0" fontId="9" fillId="4" borderId="0" xfId="0" applyFont="1" applyFill="1" applyAlignment="1">
      <alignment horizontal="center"/>
    </xf>
    <xf numFmtId="0" fontId="7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 applyFont="1" applyAlignment="1"/>
    <xf numFmtId="0" fontId="9" fillId="0" borderId="0" xfId="0" applyFont="1" applyAlignment="1">
      <alignment horizontal="center" vertical="center" wrapText="1"/>
    </xf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4" fillId="7" borderId="0" xfId="2" applyBorder="1" applyAlignment="1"/>
    <xf numFmtId="9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2" fillId="3" borderId="0" xfId="0" applyFont="1" applyFill="1" applyAlignment="1">
      <alignment horizontal="center"/>
    </xf>
  </cellXfs>
  <cellStyles count="3">
    <cellStyle name="Звичайний" xfId="0" builtinId="0"/>
    <cellStyle name="Поганий" xfId="1" builtinId="27"/>
    <cellStyle name="Результат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B9DC-930C-479C-9AD2-8A5F5B73E986}">
  <sheetPr codeName="Аркуш6"/>
  <dimension ref="A1:O52"/>
  <sheetViews>
    <sheetView tabSelected="1" workbookViewId="0">
      <selection activeCell="B6" sqref="B6"/>
    </sheetView>
  </sheetViews>
  <sheetFormatPr defaultRowHeight="20.100000000000001" customHeight="1" x14ac:dyDescent="0.2"/>
  <cols>
    <col min="1" max="1" width="17.5703125" bestFit="1" customWidth="1"/>
    <col min="2" max="2" width="14.5703125" customWidth="1"/>
    <col min="3" max="3" width="14.5703125" style="35" customWidth="1"/>
    <col min="4" max="4" width="9" bestFit="1" customWidth="1"/>
    <col min="5" max="5" width="4.140625" customWidth="1"/>
    <col min="6" max="6" width="5.85546875" customWidth="1"/>
    <col min="7" max="7" width="84.5703125" bestFit="1" customWidth="1"/>
    <col min="8" max="8" width="4.85546875" customWidth="1"/>
    <col min="9" max="9" width="1.5703125" customWidth="1"/>
    <col min="10" max="10" width="6.140625" customWidth="1"/>
    <col min="11" max="11" width="3.5703125" customWidth="1"/>
  </cols>
  <sheetData>
    <row r="1" spans="1:15" s="21" customFormat="1" ht="20.100000000000001" customHeight="1" x14ac:dyDescent="0.25">
      <c r="A1" s="21" t="str">
        <f>'MultiPlus &amp; Sunlight'!H1</f>
        <v>Артикул</v>
      </c>
      <c r="B1" s="21" t="str">
        <f>'MultiPlus &amp; Sunlight'!I1</f>
        <v>Ціна</v>
      </c>
      <c r="C1" s="21" t="s">
        <v>403</v>
      </c>
      <c r="D1" s="21" t="s">
        <v>274</v>
      </c>
      <c r="E1" s="21" t="s">
        <v>275</v>
      </c>
      <c r="F1" s="21" t="s">
        <v>277</v>
      </c>
      <c r="G1" s="21" t="s">
        <v>282</v>
      </c>
      <c r="H1" s="21" t="s">
        <v>283</v>
      </c>
      <c r="I1" s="21" t="s">
        <v>284</v>
      </c>
      <c r="J1" s="21" t="s">
        <v>285</v>
      </c>
      <c r="K1" s="21" t="s">
        <v>388</v>
      </c>
      <c r="N1" s="21" t="s">
        <v>390</v>
      </c>
      <c r="O1" s="21" t="s">
        <v>391</v>
      </c>
    </row>
    <row r="2" spans="1:15" ht="20.100000000000001" customHeight="1" x14ac:dyDescent="0.2">
      <c r="A2" t="str">
        <f>'MultiPlus &amp; Sunlight'!H2</f>
        <v>TMS4801001003</v>
      </c>
      <c r="B2">
        <f>'MultiPlus &amp; Sunlight'!I2</f>
        <v>2087.4399999999996</v>
      </c>
      <c r="C2" s="35">
        <v>0</v>
      </c>
      <c r="D2" s="22" t="s">
        <v>3</v>
      </c>
      <c r="E2" s="22" t="s">
        <v>276</v>
      </c>
      <c r="F2" s="22" t="s">
        <v>278</v>
      </c>
      <c r="G2" s="22" t="s">
        <v>286</v>
      </c>
      <c r="H2" s="22" t="s">
        <v>314</v>
      </c>
      <c r="I2" s="22" t="s">
        <v>286</v>
      </c>
      <c r="J2" s="22" t="s">
        <v>314</v>
      </c>
      <c r="K2" s="25" t="s">
        <v>389</v>
      </c>
      <c r="N2" s="26"/>
    </row>
    <row r="3" spans="1:15" ht="20.100000000000001" customHeight="1" x14ac:dyDescent="0.2">
      <c r="A3" t="str">
        <f>'MultiPlus &amp; Sunlight'!H3</f>
        <v>TMS4801001003GX</v>
      </c>
      <c r="B3">
        <f>'MultiPlus &amp; Sunlight'!I3</f>
        <v>2191.8399999999997</v>
      </c>
      <c r="C3" s="42">
        <v>0</v>
      </c>
      <c r="D3" s="22" t="s">
        <v>3</v>
      </c>
      <c r="E3" s="22" t="s">
        <v>276</v>
      </c>
      <c r="F3" s="22" t="s">
        <v>278</v>
      </c>
      <c r="G3" s="22" t="s">
        <v>287</v>
      </c>
      <c r="H3" s="22" t="s">
        <v>315</v>
      </c>
      <c r="I3" s="22" t="s">
        <v>287</v>
      </c>
      <c r="J3" s="22" t="s">
        <v>315</v>
      </c>
      <c r="K3" s="25" t="s">
        <v>389</v>
      </c>
    </row>
    <row r="4" spans="1:15" ht="20.100000000000001" customHeight="1" x14ac:dyDescent="0.2">
      <c r="A4" t="str">
        <f>'MultiPlus &amp; Sunlight'!H4</f>
        <v>TMS4802001005</v>
      </c>
      <c r="B4">
        <f>'MultiPlus &amp; Sunlight'!I4</f>
        <v>3981.56</v>
      </c>
      <c r="C4" s="42">
        <v>0</v>
      </c>
      <c r="D4" s="22" t="s">
        <v>3</v>
      </c>
      <c r="E4" s="22" t="s">
        <v>276</v>
      </c>
      <c r="F4" s="22" t="s">
        <v>278</v>
      </c>
      <c r="G4" s="22" t="s">
        <v>288</v>
      </c>
      <c r="H4" s="22" t="s">
        <v>316</v>
      </c>
      <c r="I4" s="22" t="s">
        <v>288</v>
      </c>
      <c r="J4" s="22" t="s">
        <v>316</v>
      </c>
      <c r="K4" s="25" t="s">
        <v>389</v>
      </c>
    </row>
    <row r="5" spans="1:15" ht="20.100000000000001" customHeight="1" x14ac:dyDescent="0.2">
      <c r="A5" t="str">
        <f>'MultiPlus &amp; Sunlight'!H5</f>
        <v>TMS4802001005GX</v>
      </c>
      <c r="B5">
        <f>'MultiPlus &amp; Sunlight'!I5</f>
        <v>4217.96</v>
      </c>
      <c r="C5" s="42">
        <v>0</v>
      </c>
      <c r="D5" s="22" t="s">
        <v>3</v>
      </c>
      <c r="E5" s="22" t="s">
        <v>276</v>
      </c>
      <c r="F5" s="22" t="s">
        <v>278</v>
      </c>
      <c r="G5" s="22" t="s">
        <v>289</v>
      </c>
      <c r="H5" s="22" t="s">
        <v>317</v>
      </c>
      <c r="I5" s="22" t="s">
        <v>289</v>
      </c>
      <c r="J5" s="22" t="s">
        <v>317</v>
      </c>
      <c r="K5" s="25" t="s">
        <v>389</v>
      </c>
    </row>
    <row r="6" spans="1:15" ht="20.100000000000001" customHeight="1" x14ac:dyDescent="0.2">
      <c r="A6" t="str">
        <f>'MultiPlus &amp; Sunlight'!H6</f>
        <v>TMS4803001005GX</v>
      </c>
      <c r="B6">
        <f>'MultiPlus &amp; Sunlight'!I6</f>
        <v>5473.08</v>
      </c>
      <c r="C6" s="42">
        <v>0</v>
      </c>
      <c r="D6" s="22" t="s">
        <v>3</v>
      </c>
      <c r="E6" s="22" t="s">
        <v>276</v>
      </c>
      <c r="F6" s="22" t="s">
        <v>278</v>
      </c>
      <c r="G6" s="22" t="s">
        <v>290</v>
      </c>
      <c r="H6" s="22" t="s">
        <v>318</v>
      </c>
      <c r="I6" s="22" t="s">
        <v>290</v>
      </c>
      <c r="J6" s="22" t="s">
        <v>318</v>
      </c>
      <c r="K6" s="25" t="s">
        <v>389</v>
      </c>
    </row>
    <row r="7" spans="1:15" ht="20.100000000000001" customHeight="1" x14ac:dyDescent="0.2">
      <c r="A7" t="str">
        <f>'MultiPlus &amp; Sunlight'!H7</f>
        <v>TMS4802001008GX</v>
      </c>
      <c r="B7">
        <f>'MultiPlus &amp; Sunlight'!I7</f>
        <v>5271.36</v>
      </c>
      <c r="C7" s="42">
        <v>0</v>
      </c>
      <c r="D7" s="22" t="s">
        <v>3</v>
      </c>
      <c r="E7" s="22" t="s">
        <v>276</v>
      </c>
      <c r="F7" s="22" t="s">
        <v>278</v>
      </c>
      <c r="G7" s="22" t="s">
        <v>291</v>
      </c>
      <c r="H7" s="22" t="s">
        <v>319</v>
      </c>
      <c r="I7" s="22" t="s">
        <v>291</v>
      </c>
      <c r="J7" s="22" t="s">
        <v>319</v>
      </c>
      <c r="K7" s="25" t="s">
        <v>389</v>
      </c>
    </row>
    <row r="8" spans="1:15" ht="20.100000000000001" customHeight="1" x14ac:dyDescent="0.2">
      <c r="A8" t="str">
        <f>'MultiPlus &amp; Sunlight'!H8</f>
        <v>TMS4803001008GX</v>
      </c>
      <c r="B8">
        <f>'MultiPlus &amp; Sunlight'!I8</f>
        <v>6526.48</v>
      </c>
      <c r="C8" s="42">
        <v>0</v>
      </c>
      <c r="D8" s="22" t="s">
        <v>3</v>
      </c>
      <c r="E8" s="22" t="s">
        <v>276</v>
      </c>
      <c r="F8" s="22" t="s">
        <v>278</v>
      </c>
      <c r="G8" s="22" t="s">
        <v>292</v>
      </c>
      <c r="H8" s="22" t="s">
        <v>320</v>
      </c>
      <c r="I8" s="22" t="s">
        <v>292</v>
      </c>
      <c r="J8" s="22" t="s">
        <v>320</v>
      </c>
      <c r="K8" s="25" t="s">
        <v>389</v>
      </c>
    </row>
    <row r="9" spans="1:15" ht="20.100000000000001" customHeight="1" x14ac:dyDescent="0.2">
      <c r="A9" t="str">
        <f>'MultiPlus &amp; Sunlight'!H9</f>
        <v>TMS4803001010GX</v>
      </c>
      <c r="B9">
        <f>'MultiPlus &amp; Sunlight'!I9</f>
        <v>6834.88</v>
      </c>
      <c r="C9" s="42">
        <v>0</v>
      </c>
      <c r="D9" s="22" t="s">
        <v>3</v>
      </c>
      <c r="E9" s="22" t="s">
        <v>276</v>
      </c>
      <c r="F9" s="22" t="s">
        <v>278</v>
      </c>
      <c r="G9" s="22" t="s">
        <v>293</v>
      </c>
      <c r="H9" s="22" t="s">
        <v>321</v>
      </c>
      <c r="I9" s="22" t="s">
        <v>293</v>
      </c>
      <c r="J9" s="22" t="s">
        <v>321</v>
      </c>
      <c r="K9" s="25" t="s">
        <v>389</v>
      </c>
    </row>
    <row r="10" spans="1:15" ht="20.100000000000001" customHeight="1" x14ac:dyDescent="0.2">
      <c r="A10" t="str">
        <f>'MultiPlus &amp; Sunlight'!H10</f>
        <v>TMS4804001010GX</v>
      </c>
      <c r="B10">
        <f>'MultiPlus &amp; Sunlight'!I10</f>
        <v>8290</v>
      </c>
      <c r="C10" s="42">
        <v>0</v>
      </c>
      <c r="D10" s="22" t="s">
        <v>3</v>
      </c>
      <c r="E10" s="22" t="s">
        <v>276</v>
      </c>
      <c r="F10" s="22" t="s">
        <v>278</v>
      </c>
      <c r="G10" s="22" t="s">
        <v>294</v>
      </c>
      <c r="H10" s="22" t="s">
        <v>322</v>
      </c>
      <c r="I10" s="22" t="s">
        <v>294</v>
      </c>
      <c r="J10" s="22" t="s">
        <v>322</v>
      </c>
      <c r="K10" s="25" t="s">
        <v>389</v>
      </c>
    </row>
    <row r="11" spans="1:15" ht="20.100000000000001" customHeight="1" x14ac:dyDescent="0.2">
      <c r="A11" t="str">
        <f>'MultiPlus &amp; Sunlight'!H11</f>
        <v>TMS4804001015GX</v>
      </c>
      <c r="B11">
        <f>'MultiPlus &amp; Sunlight'!I11</f>
        <v>9177.52</v>
      </c>
      <c r="C11" s="42">
        <v>0</v>
      </c>
      <c r="D11" s="22" t="s">
        <v>3</v>
      </c>
      <c r="E11" s="22" t="s">
        <v>276</v>
      </c>
      <c r="F11" s="22" t="s">
        <v>278</v>
      </c>
      <c r="G11" s="22" t="s">
        <v>295</v>
      </c>
      <c r="H11" s="22" t="s">
        <v>323</v>
      </c>
      <c r="I11" s="22" t="s">
        <v>295</v>
      </c>
      <c r="J11" s="22" t="s">
        <v>323</v>
      </c>
      <c r="K11" s="25" t="s">
        <v>389</v>
      </c>
    </row>
    <row r="12" spans="1:15" ht="20.100000000000001" customHeight="1" x14ac:dyDescent="0.2">
      <c r="A12" t="str">
        <f>'MultiPlus &amp; Sunlight'!H12</f>
        <v>TMS4805001015GX</v>
      </c>
      <c r="B12">
        <f>'MultiPlus &amp; Sunlight'!I12</f>
        <v>10437.64</v>
      </c>
      <c r="C12" s="42">
        <v>0</v>
      </c>
      <c r="D12" s="22" t="s">
        <v>3</v>
      </c>
      <c r="E12" s="22" t="s">
        <v>276</v>
      </c>
      <c r="F12" s="22" t="s">
        <v>278</v>
      </c>
      <c r="G12" s="22" t="s">
        <v>296</v>
      </c>
      <c r="H12" s="22" t="s">
        <v>324</v>
      </c>
      <c r="I12" s="22" t="s">
        <v>296</v>
      </c>
      <c r="J12" s="22" t="s">
        <v>324</v>
      </c>
      <c r="K12" s="25" t="s">
        <v>389</v>
      </c>
    </row>
    <row r="13" spans="1:15" ht="20.100000000000001" customHeight="1" x14ac:dyDescent="0.2">
      <c r="A13" t="str">
        <f>'MultiPlus &amp; Sunlight'!H13</f>
        <v>TMS4806001015GX</v>
      </c>
      <c r="B13">
        <f>'MultiPlus &amp; Sunlight'!I13</f>
        <v>11692.76</v>
      </c>
      <c r="C13" s="42">
        <v>0</v>
      </c>
      <c r="D13" s="22" t="s">
        <v>3</v>
      </c>
      <c r="E13" s="22" t="s">
        <v>276</v>
      </c>
      <c r="F13" s="22" t="s">
        <v>278</v>
      </c>
      <c r="G13" s="22" t="s">
        <v>297</v>
      </c>
      <c r="H13" s="22" t="s">
        <v>325</v>
      </c>
      <c r="I13" s="22" t="s">
        <v>297</v>
      </c>
      <c r="J13" s="22" t="s">
        <v>325</v>
      </c>
      <c r="K13" s="25" t="s">
        <v>389</v>
      </c>
    </row>
    <row r="14" spans="1:15" ht="20.100000000000001" customHeight="1" x14ac:dyDescent="0.2">
      <c r="A14" t="str">
        <f>'MultiPlus &amp; Sunlight'!H14</f>
        <v>TMS4802003009GX</v>
      </c>
      <c r="B14">
        <f>'MultiPlus &amp; Sunlight'!I14</f>
        <v>6045.1999999999989</v>
      </c>
      <c r="C14" s="42">
        <v>0</v>
      </c>
      <c r="D14" s="22" t="s">
        <v>3</v>
      </c>
      <c r="E14" s="22" t="s">
        <v>276</v>
      </c>
      <c r="F14" s="22" t="s">
        <v>278</v>
      </c>
      <c r="G14" s="22" t="s">
        <v>298</v>
      </c>
      <c r="H14" s="22" t="s">
        <v>326</v>
      </c>
      <c r="I14" s="22" t="s">
        <v>298</v>
      </c>
      <c r="J14" s="22" t="s">
        <v>326</v>
      </c>
      <c r="K14" s="25" t="s">
        <v>389</v>
      </c>
    </row>
    <row r="15" spans="1:15" ht="20.100000000000001" customHeight="1" x14ac:dyDescent="0.2">
      <c r="A15" t="str">
        <f>'MultiPlus &amp; Sunlight'!H15</f>
        <v>TMS4803003009GX</v>
      </c>
      <c r="B15">
        <f>'MultiPlus &amp; Sunlight'!I15</f>
        <v>7300.32</v>
      </c>
      <c r="C15" s="42">
        <v>0</v>
      </c>
      <c r="D15" s="22" t="s">
        <v>3</v>
      </c>
      <c r="E15" s="22" t="s">
        <v>276</v>
      </c>
      <c r="F15" s="22" t="s">
        <v>278</v>
      </c>
      <c r="G15" s="22" t="s">
        <v>299</v>
      </c>
      <c r="H15" s="22" t="s">
        <v>327</v>
      </c>
      <c r="I15" s="22" t="s">
        <v>299</v>
      </c>
      <c r="J15" s="22" t="s">
        <v>327</v>
      </c>
      <c r="K15" s="25" t="s">
        <v>389</v>
      </c>
    </row>
    <row r="16" spans="1:15" ht="20.100000000000001" customHeight="1" x14ac:dyDescent="0.2">
      <c r="A16" t="str">
        <f>'MultiPlus &amp; Sunlight'!H16</f>
        <v>TMS4804003009GX</v>
      </c>
      <c r="B16">
        <f>'MultiPlus &amp; Sunlight'!I16</f>
        <v>8575.4399999999987</v>
      </c>
      <c r="C16" s="42">
        <v>0</v>
      </c>
      <c r="D16" s="22" t="s">
        <v>3</v>
      </c>
      <c r="E16" s="22" t="s">
        <v>276</v>
      </c>
      <c r="F16" s="22" t="s">
        <v>278</v>
      </c>
      <c r="G16" s="22" t="s">
        <v>300</v>
      </c>
      <c r="H16" s="22" t="s">
        <v>328</v>
      </c>
      <c r="I16" s="22" t="s">
        <v>300</v>
      </c>
      <c r="J16" s="22" t="s">
        <v>328</v>
      </c>
      <c r="K16" s="25" t="s">
        <v>389</v>
      </c>
    </row>
    <row r="17" spans="1:11" ht="20.100000000000001" customHeight="1" x14ac:dyDescent="0.2">
      <c r="A17" t="str">
        <f>'MultiPlus &amp; Sunlight'!H17</f>
        <v>TMS4803003015GX</v>
      </c>
      <c r="B17">
        <f>'MultiPlus &amp; Sunlight'!I17</f>
        <v>8092.32</v>
      </c>
      <c r="C17" s="42">
        <v>0</v>
      </c>
      <c r="D17" s="22" t="s">
        <v>3</v>
      </c>
      <c r="E17" s="22" t="s">
        <v>276</v>
      </c>
      <c r="F17" s="22" t="s">
        <v>278</v>
      </c>
      <c r="G17" s="22" t="s">
        <v>301</v>
      </c>
      <c r="H17" s="22" t="s">
        <v>329</v>
      </c>
      <c r="I17" s="22" t="s">
        <v>301</v>
      </c>
      <c r="J17" s="22" t="s">
        <v>329</v>
      </c>
      <c r="K17" s="25" t="s">
        <v>389</v>
      </c>
    </row>
    <row r="18" spans="1:11" ht="20.100000000000001" customHeight="1" x14ac:dyDescent="0.2">
      <c r="A18" t="str">
        <f>'MultiPlus &amp; Sunlight'!H18</f>
        <v>TMS4804003015GX</v>
      </c>
      <c r="B18">
        <f>'MultiPlus &amp; Sunlight'!I18</f>
        <v>9367.4399999999987</v>
      </c>
      <c r="C18" s="42">
        <v>0</v>
      </c>
      <c r="D18" s="22" t="s">
        <v>3</v>
      </c>
      <c r="E18" s="22" t="s">
        <v>276</v>
      </c>
      <c r="F18" s="22" t="s">
        <v>278</v>
      </c>
      <c r="G18" s="22" t="s">
        <v>302</v>
      </c>
      <c r="H18" s="22" t="s">
        <v>330</v>
      </c>
      <c r="I18" s="22" t="s">
        <v>302</v>
      </c>
      <c r="J18" s="22" t="s">
        <v>330</v>
      </c>
      <c r="K18" s="25" t="s">
        <v>389</v>
      </c>
    </row>
    <row r="19" spans="1:11" ht="20.100000000000001" customHeight="1" x14ac:dyDescent="0.2">
      <c r="A19" t="str">
        <f>'MultiPlus &amp; Sunlight'!H19</f>
        <v>TMS4805003015GX</v>
      </c>
      <c r="B19">
        <f>'MultiPlus &amp; Sunlight'!I19</f>
        <v>10627.56</v>
      </c>
      <c r="C19" s="42">
        <v>0</v>
      </c>
      <c r="D19" s="22" t="s">
        <v>3</v>
      </c>
      <c r="E19" s="22" t="s">
        <v>276</v>
      </c>
      <c r="F19" s="22" t="s">
        <v>278</v>
      </c>
      <c r="G19" s="22" t="s">
        <v>303</v>
      </c>
      <c r="H19" s="22" t="s">
        <v>331</v>
      </c>
      <c r="I19" s="22" t="s">
        <v>303</v>
      </c>
      <c r="J19" s="22" t="s">
        <v>331</v>
      </c>
      <c r="K19" s="25" t="s">
        <v>389</v>
      </c>
    </row>
    <row r="20" spans="1:11" ht="20.100000000000001" customHeight="1" x14ac:dyDescent="0.2">
      <c r="A20" t="str">
        <f>'MultiPlus &amp; Sunlight'!H20</f>
        <v>TMS4805003024GX</v>
      </c>
      <c r="B20">
        <f>'MultiPlus &amp; Sunlight'!I20</f>
        <v>13567.96</v>
      </c>
      <c r="C20" s="42">
        <v>0</v>
      </c>
      <c r="D20" s="22" t="s">
        <v>3</v>
      </c>
      <c r="E20" s="22" t="s">
        <v>276</v>
      </c>
      <c r="F20" s="22" t="s">
        <v>278</v>
      </c>
      <c r="G20" s="22" t="s">
        <v>304</v>
      </c>
      <c r="H20" s="22" t="s">
        <v>332</v>
      </c>
      <c r="I20" s="22" t="s">
        <v>304</v>
      </c>
      <c r="J20" s="22" t="s">
        <v>332</v>
      </c>
      <c r="K20" s="25" t="s">
        <v>389</v>
      </c>
    </row>
    <row r="21" spans="1:11" ht="20.100000000000001" customHeight="1" x14ac:dyDescent="0.2">
      <c r="A21" t="str">
        <f>'MultiPlus &amp; Sunlight'!H21</f>
        <v>TMS4806003024GX</v>
      </c>
      <c r="B21">
        <f>'MultiPlus &amp; Sunlight'!I21</f>
        <v>15003.079999999998</v>
      </c>
      <c r="C21" s="42">
        <v>0</v>
      </c>
      <c r="D21" s="22" t="s">
        <v>3</v>
      </c>
      <c r="E21" s="22" t="s">
        <v>276</v>
      </c>
      <c r="F21" s="22" t="s">
        <v>278</v>
      </c>
      <c r="G21" s="22" t="s">
        <v>305</v>
      </c>
      <c r="H21" s="22" t="s">
        <v>333</v>
      </c>
      <c r="I21" s="22" t="s">
        <v>305</v>
      </c>
      <c r="J21" s="22" t="s">
        <v>333</v>
      </c>
      <c r="K21" s="25" t="s">
        <v>389</v>
      </c>
    </row>
    <row r="22" spans="1:11" ht="20.100000000000001" customHeight="1" x14ac:dyDescent="0.2">
      <c r="A22" t="str">
        <f>'MultiPlus &amp; Sunlight'!H22</f>
        <v>TMS4808003024GX</v>
      </c>
      <c r="B22">
        <f>'MultiPlus &amp; Sunlight'!I22</f>
        <v>17628.32</v>
      </c>
      <c r="C22" s="42">
        <v>0</v>
      </c>
      <c r="D22" s="22" t="s">
        <v>3</v>
      </c>
      <c r="E22" s="22" t="s">
        <v>276</v>
      </c>
      <c r="F22" s="22" t="s">
        <v>278</v>
      </c>
      <c r="G22" s="22" t="s">
        <v>306</v>
      </c>
      <c r="H22" s="22" t="s">
        <v>334</v>
      </c>
      <c r="I22" s="22" t="s">
        <v>306</v>
      </c>
      <c r="J22" s="22" t="s">
        <v>334</v>
      </c>
      <c r="K22" s="25" t="s">
        <v>389</v>
      </c>
    </row>
    <row r="23" spans="1:11" ht="20.100000000000001" customHeight="1" x14ac:dyDescent="0.2">
      <c r="A23" t="str">
        <f>'MultiPlus &amp; Sunlight'!H23</f>
        <v>TMS4810003024GX</v>
      </c>
      <c r="B23">
        <f>'MultiPlus &amp; Sunlight'!I23</f>
        <v>20148.559999999998</v>
      </c>
      <c r="C23" s="42">
        <v>0</v>
      </c>
      <c r="D23" s="22" t="s">
        <v>3</v>
      </c>
      <c r="E23" s="22" t="s">
        <v>276</v>
      </c>
      <c r="F23" s="22" t="s">
        <v>278</v>
      </c>
      <c r="G23" s="22" t="s">
        <v>307</v>
      </c>
      <c r="H23" s="22" t="s">
        <v>335</v>
      </c>
      <c r="I23" s="22" t="s">
        <v>307</v>
      </c>
      <c r="J23" s="22" t="s">
        <v>335</v>
      </c>
      <c r="K23" s="25" t="s">
        <v>389</v>
      </c>
    </row>
    <row r="24" spans="1:11" ht="20.100000000000001" customHeight="1" x14ac:dyDescent="0.2">
      <c r="A24" t="str">
        <f>'MultiPlus &amp; Sunlight'!H24</f>
        <v>TMS4808003030GX</v>
      </c>
      <c r="B24">
        <f>'MultiPlus &amp; Sunlight'!I24</f>
        <v>18760.879999999997</v>
      </c>
      <c r="C24" s="42">
        <v>0</v>
      </c>
      <c r="D24" s="22" t="s">
        <v>3</v>
      </c>
      <c r="E24" s="22" t="s">
        <v>276</v>
      </c>
      <c r="F24" s="22" t="s">
        <v>278</v>
      </c>
      <c r="G24" s="22" t="s">
        <v>308</v>
      </c>
      <c r="H24" s="22" t="s">
        <v>336</v>
      </c>
      <c r="I24" s="22" t="s">
        <v>308</v>
      </c>
      <c r="J24" s="22" t="s">
        <v>336</v>
      </c>
      <c r="K24" s="25" t="s">
        <v>389</v>
      </c>
    </row>
    <row r="25" spans="1:11" ht="20.100000000000001" customHeight="1" x14ac:dyDescent="0.2">
      <c r="A25" t="str">
        <f>'MultiPlus &amp; Sunlight'!H25</f>
        <v>TMS4810003030GX</v>
      </c>
      <c r="B25">
        <f>'MultiPlus &amp; Sunlight'!I25</f>
        <v>21281.119999999999</v>
      </c>
      <c r="C25" s="42">
        <v>0</v>
      </c>
      <c r="D25" s="22" t="s">
        <v>3</v>
      </c>
      <c r="E25" s="22" t="s">
        <v>276</v>
      </c>
      <c r="F25" s="22" t="s">
        <v>278</v>
      </c>
      <c r="G25" s="22" t="s">
        <v>309</v>
      </c>
      <c r="H25" s="22" t="s">
        <v>337</v>
      </c>
      <c r="I25" s="22" t="s">
        <v>309</v>
      </c>
      <c r="J25" s="22" t="s">
        <v>337</v>
      </c>
      <c r="K25" s="25" t="s">
        <v>389</v>
      </c>
    </row>
    <row r="26" spans="1:11" ht="20.100000000000001" customHeight="1" x14ac:dyDescent="0.2">
      <c r="A26" t="str">
        <f>'MultiPlus &amp; Sunlight'!H26</f>
        <v>TMS4812003030GX</v>
      </c>
      <c r="B26">
        <f>'MultiPlus &amp; Sunlight'!I26</f>
        <v>24081.360000000001</v>
      </c>
      <c r="C26" s="42">
        <v>0</v>
      </c>
      <c r="D26" s="22" t="s">
        <v>3</v>
      </c>
      <c r="E26" s="22" t="s">
        <v>276</v>
      </c>
      <c r="F26" s="22" t="s">
        <v>278</v>
      </c>
      <c r="G26" s="22" t="s">
        <v>310</v>
      </c>
      <c r="H26" s="22" t="s">
        <v>338</v>
      </c>
      <c r="I26" s="22" t="s">
        <v>310</v>
      </c>
      <c r="J26" s="22" t="s">
        <v>338</v>
      </c>
      <c r="K26" s="25" t="s">
        <v>389</v>
      </c>
    </row>
    <row r="27" spans="1:11" ht="20.100000000000001" customHeight="1" x14ac:dyDescent="0.2">
      <c r="A27" t="str">
        <f>'MultiPlus &amp; Sunlight'!H27</f>
        <v>TMS4809003045GX</v>
      </c>
      <c r="B27">
        <f>'MultiPlus &amp; Sunlight'!I27</f>
        <v>22661.199999999997</v>
      </c>
      <c r="C27" s="42">
        <v>0</v>
      </c>
      <c r="D27" s="22" t="s">
        <v>3</v>
      </c>
      <c r="E27" s="22" t="s">
        <v>276</v>
      </c>
      <c r="F27" s="22" t="s">
        <v>278</v>
      </c>
      <c r="G27" s="22" t="s">
        <v>311</v>
      </c>
      <c r="H27" s="22" t="s">
        <v>339</v>
      </c>
      <c r="I27" s="22" t="s">
        <v>311</v>
      </c>
      <c r="J27" s="22" t="s">
        <v>339</v>
      </c>
      <c r="K27" s="25" t="s">
        <v>389</v>
      </c>
    </row>
    <row r="28" spans="1:11" ht="20.100000000000001" customHeight="1" x14ac:dyDescent="0.2">
      <c r="A28" t="str">
        <f>'MultiPlus &amp; Sunlight'!H28</f>
        <v>TMS4812003045GX</v>
      </c>
      <c r="B28">
        <f>'MultiPlus &amp; Sunlight'!I28</f>
        <v>26606.559999999998</v>
      </c>
      <c r="C28" s="42">
        <v>0</v>
      </c>
      <c r="D28" s="22" t="s">
        <v>3</v>
      </c>
      <c r="E28" s="22" t="s">
        <v>276</v>
      </c>
      <c r="F28" s="22" t="s">
        <v>278</v>
      </c>
      <c r="G28" s="22" t="s">
        <v>312</v>
      </c>
      <c r="H28" s="22" t="s">
        <v>340</v>
      </c>
      <c r="I28" s="22" t="s">
        <v>312</v>
      </c>
      <c r="J28" s="22" t="s">
        <v>340</v>
      </c>
      <c r="K28" s="25" t="s">
        <v>389</v>
      </c>
    </row>
    <row r="29" spans="1:11" ht="20.100000000000001" customHeight="1" x14ac:dyDescent="0.2">
      <c r="A29" t="str">
        <f>'MultiPlus &amp; Sunlight'!H29</f>
        <v>TMS4815003045GX</v>
      </c>
      <c r="B29">
        <f>'MultiPlus &amp; Sunlight'!I29</f>
        <v>30676.92</v>
      </c>
      <c r="C29" s="42">
        <v>0</v>
      </c>
      <c r="D29" s="22" t="s">
        <v>3</v>
      </c>
      <c r="E29" s="22" t="s">
        <v>276</v>
      </c>
      <c r="F29" s="22" t="s">
        <v>278</v>
      </c>
      <c r="G29" s="22" t="s">
        <v>313</v>
      </c>
      <c r="H29" s="22" t="s">
        <v>341</v>
      </c>
      <c r="I29" s="22" t="s">
        <v>313</v>
      </c>
      <c r="J29" s="22" t="s">
        <v>341</v>
      </c>
      <c r="K29" s="25" t="s">
        <v>389</v>
      </c>
    </row>
    <row r="30" spans="1:11" ht="20.100000000000001" customHeight="1" x14ac:dyDescent="0.2">
      <c r="A30" t="str">
        <f>'Quattro &amp; Sunlight'!H3</f>
        <v>TQS4802001005GX</v>
      </c>
      <c r="B30">
        <f>'Quattro &amp; Sunlight'!I3</f>
        <v>4740.96</v>
      </c>
      <c r="C30" s="42">
        <v>0</v>
      </c>
      <c r="D30" s="22" t="s">
        <v>3</v>
      </c>
      <c r="E30" s="22" t="s">
        <v>276</v>
      </c>
      <c r="F30" s="22" t="s">
        <v>278</v>
      </c>
      <c r="G30" s="22" t="s">
        <v>365</v>
      </c>
      <c r="H30" s="22" t="s">
        <v>342</v>
      </c>
      <c r="I30" s="22" t="s">
        <v>365</v>
      </c>
      <c r="J30" s="22" t="s">
        <v>342</v>
      </c>
      <c r="K30" s="25" t="s">
        <v>389</v>
      </c>
    </row>
    <row r="31" spans="1:11" ht="20.100000000000001" customHeight="1" x14ac:dyDescent="0.2">
      <c r="A31" t="str">
        <f>'Quattro &amp; Sunlight'!H4</f>
        <v>TQS4803001005GX</v>
      </c>
      <c r="B31">
        <f>'Quattro &amp; Sunlight'!I4</f>
        <v>5996.08</v>
      </c>
      <c r="C31" s="42">
        <v>0</v>
      </c>
      <c r="D31" s="22" t="s">
        <v>3</v>
      </c>
      <c r="E31" s="22" t="s">
        <v>276</v>
      </c>
      <c r="F31" s="22" t="s">
        <v>278</v>
      </c>
      <c r="G31" s="22" t="s">
        <v>366</v>
      </c>
      <c r="H31" s="22" t="s">
        <v>343</v>
      </c>
      <c r="I31" s="22" t="s">
        <v>366</v>
      </c>
      <c r="J31" s="22" t="s">
        <v>343</v>
      </c>
      <c r="K31" s="25" t="s">
        <v>389</v>
      </c>
    </row>
    <row r="32" spans="1:11" ht="20.100000000000001" customHeight="1" x14ac:dyDescent="0.2">
      <c r="A32" t="str">
        <f>'Quattro &amp; Sunlight'!H5</f>
        <v>TQS4802001008GX</v>
      </c>
      <c r="B32">
        <f>'Quattro &amp; Sunlight'!I5</f>
        <v>5731.9599999999991</v>
      </c>
      <c r="C32" s="42">
        <v>0</v>
      </c>
      <c r="D32" s="22" t="s">
        <v>3</v>
      </c>
      <c r="E32" s="22" t="s">
        <v>276</v>
      </c>
      <c r="F32" s="22" t="s">
        <v>278</v>
      </c>
      <c r="G32" s="22" t="s">
        <v>367</v>
      </c>
      <c r="H32" s="22" t="s">
        <v>344</v>
      </c>
      <c r="I32" s="22" t="s">
        <v>367</v>
      </c>
      <c r="J32" s="22" t="s">
        <v>344</v>
      </c>
      <c r="K32" s="25" t="s">
        <v>389</v>
      </c>
    </row>
    <row r="33" spans="1:11" ht="20.100000000000001" customHeight="1" x14ac:dyDescent="0.2">
      <c r="A33" t="str">
        <f>'Quattro &amp; Sunlight'!H6</f>
        <v>TQS4803001008GX</v>
      </c>
      <c r="B33">
        <f>'Quattro &amp; Sunlight'!I6</f>
        <v>6987.08</v>
      </c>
      <c r="C33" s="42">
        <v>0</v>
      </c>
      <c r="D33" s="22" t="s">
        <v>3</v>
      </c>
      <c r="E33" s="22" t="s">
        <v>276</v>
      </c>
      <c r="F33" s="22" t="s">
        <v>278</v>
      </c>
      <c r="G33" s="22" t="s">
        <v>368</v>
      </c>
      <c r="H33" s="22" t="s">
        <v>345</v>
      </c>
      <c r="I33" s="22" t="s">
        <v>368</v>
      </c>
      <c r="J33" s="22" t="s">
        <v>345</v>
      </c>
      <c r="K33" s="25" t="s">
        <v>389</v>
      </c>
    </row>
    <row r="34" spans="1:11" ht="20.100000000000001" customHeight="1" x14ac:dyDescent="0.2">
      <c r="A34" t="str">
        <f>'Quattro &amp; Sunlight'!H7</f>
        <v>TQS4803001010GX</v>
      </c>
      <c r="B34">
        <f>'Quattro &amp; Sunlight'!I7</f>
        <v>7498.2800000000007</v>
      </c>
      <c r="C34" s="42">
        <v>0</v>
      </c>
      <c r="D34" s="22" t="s">
        <v>3</v>
      </c>
      <c r="E34" s="22" t="s">
        <v>276</v>
      </c>
      <c r="F34" s="22" t="s">
        <v>278</v>
      </c>
      <c r="G34" s="22" t="s">
        <v>369</v>
      </c>
      <c r="H34" s="22" t="s">
        <v>346</v>
      </c>
      <c r="I34" s="22" t="s">
        <v>369</v>
      </c>
      <c r="J34" s="22" t="s">
        <v>346</v>
      </c>
      <c r="K34" s="25" t="s">
        <v>389</v>
      </c>
    </row>
    <row r="35" spans="1:11" ht="20.100000000000001" customHeight="1" x14ac:dyDescent="0.2">
      <c r="A35" t="str">
        <f>'Quattro &amp; Sunlight'!H8</f>
        <v>TQS4804001010GX</v>
      </c>
      <c r="B35">
        <f>'Quattro &amp; Sunlight'!I8</f>
        <v>8953.4</v>
      </c>
      <c r="C35" s="42">
        <v>0</v>
      </c>
      <c r="D35" s="22" t="s">
        <v>3</v>
      </c>
      <c r="E35" s="22" t="s">
        <v>276</v>
      </c>
      <c r="F35" s="22" t="s">
        <v>278</v>
      </c>
      <c r="G35" s="22" t="s">
        <v>370</v>
      </c>
      <c r="H35" s="22" t="s">
        <v>347</v>
      </c>
      <c r="I35" s="22" t="s">
        <v>370</v>
      </c>
      <c r="J35" s="22" t="s">
        <v>347</v>
      </c>
      <c r="K35" s="25" t="s">
        <v>389</v>
      </c>
    </row>
    <row r="36" spans="1:11" ht="20.100000000000001" customHeight="1" x14ac:dyDescent="0.2">
      <c r="A36" t="str">
        <f>'Quattro &amp; Sunlight'!H9</f>
        <v>TQS4805001010GX</v>
      </c>
      <c r="B36">
        <f>'Quattro &amp; Sunlight'!I9</f>
        <v>10213.52</v>
      </c>
      <c r="C36" s="42">
        <v>0</v>
      </c>
      <c r="D36" s="22" t="s">
        <v>3</v>
      </c>
      <c r="E36" s="22" t="s">
        <v>276</v>
      </c>
      <c r="F36" s="22" t="s">
        <v>278</v>
      </c>
      <c r="G36" s="22" t="s">
        <v>371</v>
      </c>
      <c r="H36" s="22" t="s">
        <v>348</v>
      </c>
      <c r="I36" s="22" t="s">
        <v>371</v>
      </c>
      <c r="J36" s="22" t="s">
        <v>348</v>
      </c>
      <c r="K36" s="25" t="s">
        <v>389</v>
      </c>
    </row>
    <row r="37" spans="1:11" ht="20.100000000000001" customHeight="1" x14ac:dyDescent="0.2">
      <c r="A37" t="str">
        <f>'Quattro &amp; Sunlight'!H10</f>
        <v>TQS4804001015GX</v>
      </c>
      <c r="B37">
        <f>'Quattro &amp; Sunlight'!I10</f>
        <v>9860.119999999999</v>
      </c>
      <c r="C37" s="42">
        <v>0</v>
      </c>
      <c r="D37" s="22" t="s">
        <v>3</v>
      </c>
      <c r="E37" s="22" t="s">
        <v>276</v>
      </c>
      <c r="F37" s="22" t="s">
        <v>278</v>
      </c>
      <c r="G37" s="22" t="s">
        <v>372</v>
      </c>
      <c r="H37" s="22" t="s">
        <v>349</v>
      </c>
      <c r="I37" s="22" t="s">
        <v>372</v>
      </c>
      <c r="J37" s="22" t="s">
        <v>349</v>
      </c>
      <c r="K37" s="25" t="s">
        <v>389</v>
      </c>
    </row>
    <row r="38" spans="1:11" ht="20.100000000000001" customHeight="1" x14ac:dyDescent="0.2">
      <c r="A38" t="str">
        <f>'Quattro &amp; Sunlight'!H11</f>
        <v>TQS4805001015GX</v>
      </c>
      <c r="B38">
        <f>'Quattro &amp; Sunlight'!I11</f>
        <v>11120.240000000002</v>
      </c>
      <c r="C38" s="42">
        <v>0</v>
      </c>
      <c r="D38" s="22" t="s">
        <v>3</v>
      </c>
      <c r="E38" s="22" t="s">
        <v>276</v>
      </c>
      <c r="F38" s="22" t="s">
        <v>278</v>
      </c>
      <c r="G38" s="22" t="s">
        <v>373</v>
      </c>
      <c r="H38" s="22" t="s">
        <v>350</v>
      </c>
      <c r="I38" s="22" t="s">
        <v>373</v>
      </c>
      <c r="J38" s="22" t="s">
        <v>350</v>
      </c>
      <c r="K38" s="25" t="s">
        <v>389</v>
      </c>
    </row>
    <row r="39" spans="1:11" ht="20.100000000000001" customHeight="1" x14ac:dyDescent="0.2">
      <c r="A39" t="str">
        <f>'Quattro &amp; Sunlight'!H12</f>
        <v>TQS4806001015GX</v>
      </c>
      <c r="B39">
        <f>'Quattro &amp; Sunlight'!I12</f>
        <v>12375.36</v>
      </c>
      <c r="C39" s="42">
        <v>0</v>
      </c>
      <c r="D39" s="22" t="s">
        <v>3</v>
      </c>
      <c r="E39" s="22" t="s">
        <v>276</v>
      </c>
      <c r="F39" s="22" t="s">
        <v>278</v>
      </c>
      <c r="G39" s="22" t="s">
        <v>374</v>
      </c>
      <c r="H39" s="22" t="s">
        <v>351</v>
      </c>
      <c r="I39" s="22" t="s">
        <v>374</v>
      </c>
      <c r="J39" s="22" t="s">
        <v>351</v>
      </c>
      <c r="K39" s="25" t="s">
        <v>389</v>
      </c>
    </row>
    <row r="40" spans="1:11" ht="20.100000000000001" customHeight="1" x14ac:dyDescent="0.2">
      <c r="A40" t="str">
        <f>'Quattro &amp; Sunlight'!H13</f>
        <v>TQS4803003015GX</v>
      </c>
      <c r="B40">
        <f>'Quattro &amp; Sunlight'!I13</f>
        <v>9341.52</v>
      </c>
      <c r="C40" s="42">
        <v>0</v>
      </c>
      <c r="D40" s="22" t="s">
        <v>3</v>
      </c>
      <c r="E40" s="22" t="s">
        <v>276</v>
      </c>
      <c r="F40" s="22" t="s">
        <v>278</v>
      </c>
      <c r="G40" s="22" t="s">
        <v>375</v>
      </c>
      <c r="H40" s="22" t="s">
        <v>352</v>
      </c>
      <c r="I40" s="22" t="s">
        <v>375</v>
      </c>
      <c r="J40" s="22" t="s">
        <v>352</v>
      </c>
      <c r="K40" s="25" t="s">
        <v>389</v>
      </c>
    </row>
    <row r="41" spans="1:11" ht="20.100000000000001" customHeight="1" x14ac:dyDescent="0.2">
      <c r="A41" t="str">
        <f>'Quattro &amp; Sunlight'!H14</f>
        <v>TQS4804003015GX</v>
      </c>
      <c r="B41">
        <f>'Quattro &amp; Sunlight'!I14</f>
        <v>10616.64</v>
      </c>
      <c r="C41" s="42">
        <v>0</v>
      </c>
      <c r="D41" s="22" t="s">
        <v>3</v>
      </c>
      <c r="E41" s="22" t="s">
        <v>276</v>
      </c>
      <c r="F41" s="22" t="s">
        <v>278</v>
      </c>
      <c r="G41" s="22" t="s">
        <v>376</v>
      </c>
      <c r="H41" s="22" t="s">
        <v>353</v>
      </c>
      <c r="I41" s="22" t="s">
        <v>376</v>
      </c>
      <c r="J41" s="22" t="s">
        <v>353</v>
      </c>
      <c r="K41" s="25" t="s">
        <v>389</v>
      </c>
    </row>
    <row r="42" spans="1:11" ht="20.100000000000001" customHeight="1" x14ac:dyDescent="0.2">
      <c r="A42" t="str">
        <f>'Quattro &amp; Sunlight'!H15</f>
        <v>TQS4805003015GX</v>
      </c>
      <c r="B42">
        <f>'Quattro &amp; Sunlight'!I15</f>
        <v>11876.76</v>
      </c>
      <c r="C42" s="42">
        <v>0</v>
      </c>
      <c r="D42" s="22" t="s">
        <v>3</v>
      </c>
      <c r="E42" s="22" t="s">
        <v>276</v>
      </c>
      <c r="F42" s="22" t="s">
        <v>278</v>
      </c>
      <c r="G42" s="22" t="s">
        <v>377</v>
      </c>
      <c r="H42" s="22" t="s">
        <v>354</v>
      </c>
      <c r="I42" s="22" t="s">
        <v>377</v>
      </c>
      <c r="J42" s="22" t="s">
        <v>354</v>
      </c>
      <c r="K42" s="25" t="s">
        <v>389</v>
      </c>
    </row>
    <row r="43" spans="1:11" ht="20.100000000000001" customHeight="1" x14ac:dyDescent="0.2">
      <c r="A43" t="str">
        <f>'Quattro &amp; Sunlight'!H16</f>
        <v>TQS4805003024GX</v>
      </c>
      <c r="B43">
        <f>'Quattro &amp; Sunlight'!I16</f>
        <v>14874.759999999998</v>
      </c>
      <c r="C43" s="42">
        <v>0</v>
      </c>
      <c r="D43" s="22" t="s">
        <v>3</v>
      </c>
      <c r="E43" s="22" t="s">
        <v>276</v>
      </c>
      <c r="F43" s="22" t="s">
        <v>278</v>
      </c>
      <c r="G43" s="22" t="s">
        <v>378</v>
      </c>
      <c r="H43" s="22" t="s">
        <v>355</v>
      </c>
      <c r="I43" s="22" t="s">
        <v>378</v>
      </c>
      <c r="J43" s="22" t="s">
        <v>355</v>
      </c>
      <c r="K43" s="25" t="s">
        <v>389</v>
      </c>
    </row>
    <row r="44" spans="1:11" ht="20.100000000000001" customHeight="1" x14ac:dyDescent="0.2">
      <c r="A44" t="str">
        <f>'Quattro &amp; Sunlight'!H17</f>
        <v>TQS4806003024GX</v>
      </c>
      <c r="B44">
        <f>'Quattro &amp; Sunlight'!I17</f>
        <v>16309.88</v>
      </c>
      <c r="C44" s="42">
        <v>0</v>
      </c>
      <c r="D44" s="22" t="s">
        <v>3</v>
      </c>
      <c r="E44" s="22" t="s">
        <v>276</v>
      </c>
      <c r="F44" s="22" t="s">
        <v>278</v>
      </c>
      <c r="G44" s="22" t="s">
        <v>379</v>
      </c>
      <c r="H44" s="22" t="s">
        <v>356</v>
      </c>
      <c r="I44" s="22" t="s">
        <v>379</v>
      </c>
      <c r="J44" s="22" t="s">
        <v>356</v>
      </c>
      <c r="K44" s="25" t="s">
        <v>389</v>
      </c>
    </row>
    <row r="45" spans="1:11" ht="20.100000000000001" customHeight="1" x14ac:dyDescent="0.2">
      <c r="A45" t="str">
        <f>'Quattro &amp; Sunlight'!H18</f>
        <v>TQS4808003024GX</v>
      </c>
      <c r="B45">
        <f>'Quattro &amp; Sunlight'!I18</f>
        <v>18935.12</v>
      </c>
      <c r="C45" s="42">
        <v>0</v>
      </c>
      <c r="D45" s="22" t="s">
        <v>3</v>
      </c>
      <c r="E45" s="22" t="s">
        <v>276</v>
      </c>
      <c r="F45" s="22" t="s">
        <v>278</v>
      </c>
      <c r="G45" s="22" t="s">
        <v>380</v>
      </c>
      <c r="H45" s="22" t="s">
        <v>357</v>
      </c>
      <c r="I45" s="22" t="s">
        <v>380</v>
      </c>
      <c r="J45" s="22" t="s">
        <v>357</v>
      </c>
      <c r="K45" s="25" t="s">
        <v>389</v>
      </c>
    </row>
    <row r="46" spans="1:11" ht="20.100000000000001" customHeight="1" x14ac:dyDescent="0.2">
      <c r="A46" t="str">
        <f>'Quattro &amp; Sunlight'!H19</f>
        <v>TQS4808003030GX</v>
      </c>
      <c r="B46">
        <f>'Quattro &amp; Sunlight'!I19</f>
        <v>20676.079999999998</v>
      </c>
      <c r="C46" s="42">
        <v>0</v>
      </c>
      <c r="D46" s="22" t="s">
        <v>3</v>
      </c>
      <c r="E46" s="22" t="s">
        <v>276</v>
      </c>
      <c r="F46" s="22" t="s">
        <v>278</v>
      </c>
      <c r="G46" s="22" t="s">
        <v>381</v>
      </c>
      <c r="H46" s="22" t="s">
        <v>358</v>
      </c>
      <c r="I46" s="22" t="s">
        <v>381</v>
      </c>
      <c r="J46" s="22" t="s">
        <v>358</v>
      </c>
      <c r="K46" s="25" t="s">
        <v>389</v>
      </c>
    </row>
    <row r="47" spans="1:11" ht="20.100000000000001" customHeight="1" x14ac:dyDescent="0.2">
      <c r="A47" t="str">
        <f>'Quattro &amp; Sunlight'!H20</f>
        <v>TQS4810003030GX</v>
      </c>
      <c r="B47">
        <f>'Quattro &amp; Sunlight'!I20</f>
        <v>23196.32</v>
      </c>
      <c r="C47" s="42">
        <v>0</v>
      </c>
      <c r="D47" s="22" t="s">
        <v>3</v>
      </c>
      <c r="E47" s="22" t="s">
        <v>276</v>
      </c>
      <c r="F47" s="22" t="s">
        <v>278</v>
      </c>
      <c r="G47" s="22" t="s">
        <v>382</v>
      </c>
      <c r="H47" s="22" t="s">
        <v>359</v>
      </c>
      <c r="I47" s="22" t="s">
        <v>382</v>
      </c>
      <c r="J47" s="22" t="s">
        <v>359</v>
      </c>
      <c r="K47" s="25" t="s">
        <v>389</v>
      </c>
    </row>
    <row r="48" spans="1:11" ht="20.100000000000001" customHeight="1" x14ac:dyDescent="0.2">
      <c r="A48" t="str">
        <f>'Quattro &amp; Sunlight'!H21</f>
        <v>TQS4812003030GX</v>
      </c>
      <c r="B48">
        <f>'Quattro &amp; Sunlight'!I21</f>
        <v>25886.559999999998</v>
      </c>
      <c r="C48" s="42">
        <v>0</v>
      </c>
      <c r="D48" s="22" t="s">
        <v>3</v>
      </c>
      <c r="E48" s="22" t="s">
        <v>276</v>
      </c>
      <c r="F48" s="22" t="s">
        <v>278</v>
      </c>
      <c r="G48" s="22" t="s">
        <v>383</v>
      </c>
      <c r="H48" s="22" t="s">
        <v>360</v>
      </c>
      <c r="I48" s="22" t="s">
        <v>383</v>
      </c>
      <c r="J48" s="22" t="s">
        <v>360</v>
      </c>
      <c r="K48" s="25" t="s">
        <v>389</v>
      </c>
    </row>
    <row r="49" spans="1:11" ht="20.100000000000001" customHeight="1" x14ac:dyDescent="0.2">
      <c r="A49" t="str">
        <f>'Quattro &amp; Sunlight'!H22</f>
        <v>TQS4812003045GX</v>
      </c>
      <c r="B49">
        <f>'Quattro &amp; Sunlight'!I22</f>
        <v>28579.360000000001</v>
      </c>
      <c r="C49" s="42">
        <v>0</v>
      </c>
      <c r="D49" s="22" t="s">
        <v>3</v>
      </c>
      <c r="E49" s="22" t="s">
        <v>276</v>
      </c>
      <c r="F49" s="22" t="s">
        <v>278</v>
      </c>
      <c r="G49" s="22" t="s">
        <v>384</v>
      </c>
      <c r="H49" s="22" t="s">
        <v>361</v>
      </c>
      <c r="I49" s="22" t="s">
        <v>384</v>
      </c>
      <c r="J49" s="22" t="s">
        <v>361</v>
      </c>
      <c r="K49" s="25" t="s">
        <v>389</v>
      </c>
    </row>
    <row r="50" spans="1:11" ht="20.100000000000001" customHeight="1" x14ac:dyDescent="0.2">
      <c r="A50" t="str">
        <f>'Quattro &amp; Sunlight'!H23</f>
        <v>TQS4815003045GX</v>
      </c>
      <c r="B50">
        <f>'Quattro &amp; Sunlight'!I23</f>
        <v>32649.719999999998</v>
      </c>
      <c r="C50" s="42">
        <v>0</v>
      </c>
      <c r="D50" s="22" t="s">
        <v>3</v>
      </c>
      <c r="E50" s="22" t="s">
        <v>276</v>
      </c>
      <c r="F50" s="22" t="s">
        <v>278</v>
      </c>
      <c r="G50" s="22" t="s">
        <v>385</v>
      </c>
      <c r="H50" s="22" t="s">
        <v>362</v>
      </c>
      <c r="I50" s="22" t="s">
        <v>385</v>
      </c>
      <c r="J50" s="22" t="s">
        <v>362</v>
      </c>
      <c r="K50" s="25" t="s">
        <v>389</v>
      </c>
    </row>
    <row r="51" spans="1:11" ht="20.100000000000001" customHeight="1" x14ac:dyDescent="0.2">
      <c r="A51" t="str">
        <f>'Quattro &amp; Sunlight'!H24</f>
        <v>TQS4818003045GX</v>
      </c>
      <c r="B51">
        <f>'Quattro &amp; Sunlight'!I24</f>
        <v>36415.08</v>
      </c>
      <c r="C51" s="42">
        <v>0</v>
      </c>
      <c r="D51" s="22" t="s">
        <v>3</v>
      </c>
      <c r="E51" s="22" t="s">
        <v>276</v>
      </c>
      <c r="F51" s="22" t="s">
        <v>278</v>
      </c>
      <c r="G51" s="22" t="s">
        <v>386</v>
      </c>
      <c r="H51" s="22" t="s">
        <v>363</v>
      </c>
      <c r="I51" s="22" t="s">
        <v>386</v>
      </c>
      <c r="J51" s="22" t="s">
        <v>363</v>
      </c>
      <c r="K51" s="25" t="s">
        <v>389</v>
      </c>
    </row>
    <row r="52" spans="1:11" ht="20.100000000000001" customHeight="1" x14ac:dyDescent="0.2">
      <c r="A52" t="str">
        <f>'Quattro &amp; Sunlight'!H25</f>
        <v>TQS4820003045GX</v>
      </c>
      <c r="B52">
        <f>'Quattro &amp; Sunlight'!I25</f>
        <v>39105.32</v>
      </c>
      <c r="C52" s="42">
        <v>0</v>
      </c>
      <c r="D52" s="22" t="s">
        <v>3</v>
      </c>
      <c r="E52" s="22" t="s">
        <v>276</v>
      </c>
      <c r="F52" s="22" t="s">
        <v>278</v>
      </c>
      <c r="G52" s="22" t="s">
        <v>387</v>
      </c>
      <c r="H52" s="22" t="s">
        <v>364</v>
      </c>
      <c r="I52" s="22" t="s">
        <v>387</v>
      </c>
      <c r="J52" s="22" t="s">
        <v>364</v>
      </c>
      <c r="K52" s="25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>
    <outlinePr summaryBelow="0" summaryRight="0"/>
  </sheetPr>
  <dimension ref="A2:L45"/>
  <sheetViews>
    <sheetView workbookViewId="0">
      <pane ySplit="2" topLeftCell="A3" activePane="bottomLeft" state="frozen"/>
      <selection pane="bottomLeft" activeCell="D7" sqref="D7"/>
    </sheetView>
  </sheetViews>
  <sheetFormatPr defaultColWidth="12.5703125" defaultRowHeight="15" customHeight="1" x14ac:dyDescent="0.2"/>
  <cols>
    <col min="2" max="2" width="52.5703125" customWidth="1"/>
    <col min="3" max="3" width="14.5703125" bestFit="1" customWidth="1"/>
    <col min="4" max="4" width="15.140625" bestFit="1" customWidth="1"/>
    <col min="5" max="5" width="16" bestFit="1" customWidth="1"/>
    <col min="12" max="12" width="15" bestFit="1" customWidth="1"/>
  </cols>
  <sheetData>
    <row r="2" spans="1:12" ht="15" customHeight="1" x14ac:dyDescent="0.25">
      <c r="D2" s="21" t="s">
        <v>271</v>
      </c>
      <c r="E2" s="21" t="s">
        <v>272</v>
      </c>
      <c r="F2" s="21" t="s">
        <v>273</v>
      </c>
      <c r="I2" s="36"/>
      <c r="J2" s="36"/>
    </row>
    <row r="3" spans="1:12" ht="15" customHeight="1" x14ac:dyDescent="0.2">
      <c r="A3" s="1" t="s">
        <v>0</v>
      </c>
      <c r="B3" s="1" t="s">
        <v>1</v>
      </c>
      <c r="C3" s="1" t="s">
        <v>2</v>
      </c>
      <c r="D3" s="2">
        <f>624</f>
        <v>624</v>
      </c>
      <c r="E3" s="1">
        <v>1.2</v>
      </c>
      <c r="F3" s="39">
        <f>D3*E3</f>
        <v>748.8</v>
      </c>
      <c r="G3" s="1" t="s">
        <v>3</v>
      </c>
      <c r="H3" s="37"/>
      <c r="I3" s="40"/>
    </row>
    <row r="4" spans="1:12" ht="15" customHeight="1" x14ac:dyDescent="0.2">
      <c r="A4" s="1" t="s">
        <v>0</v>
      </c>
      <c r="B4" s="1" t="s">
        <v>4</v>
      </c>
      <c r="C4" s="1" t="s">
        <v>5</v>
      </c>
      <c r="D4" s="1">
        <v>711</v>
      </c>
      <c r="E4" s="1">
        <v>1.2</v>
      </c>
      <c r="F4" s="41">
        <f t="shared" ref="F4:F14" si="0">D4*E4</f>
        <v>853.19999999999993</v>
      </c>
      <c r="G4" s="1" t="s">
        <v>3</v>
      </c>
      <c r="H4" s="37"/>
      <c r="I4" s="40"/>
      <c r="J4" s="40"/>
      <c r="L4" s="38"/>
    </row>
    <row r="5" spans="1:12" ht="15" customHeight="1" x14ac:dyDescent="0.2">
      <c r="A5" s="1" t="s">
        <v>0</v>
      </c>
      <c r="B5" s="1" t="s">
        <v>6</v>
      </c>
      <c r="C5" s="1" t="s">
        <v>407</v>
      </c>
      <c r="D5" s="1">
        <v>844</v>
      </c>
      <c r="E5" s="1">
        <v>1.2</v>
      </c>
      <c r="F5" s="41">
        <f t="shared" si="0"/>
        <v>1012.8</v>
      </c>
      <c r="G5" s="1" t="s">
        <v>3</v>
      </c>
      <c r="H5" s="37"/>
      <c r="I5" s="40"/>
      <c r="J5" s="40"/>
      <c r="L5" s="38"/>
    </row>
    <row r="6" spans="1:12" ht="15" customHeight="1" x14ac:dyDescent="0.2">
      <c r="A6" s="1" t="s">
        <v>0</v>
      </c>
      <c r="B6" s="1" t="s">
        <v>8</v>
      </c>
      <c r="C6" s="1" t="s">
        <v>9</v>
      </c>
      <c r="D6" s="1">
        <v>1041</v>
      </c>
      <c r="E6" s="1">
        <v>1.2</v>
      </c>
      <c r="F6" s="41">
        <f t="shared" si="0"/>
        <v>1249.2</v>
      </c>
      <c r="G6" s="1" t="s">
        <v>3</v>
      </c>
      <c r="H6" s="37"/>
      <c r="I6" s="40"/>
      <c r="J6" s="40"/>
      <c r="L6" s="38"/>
    </row>
    <row r="7" spans="1:12" ht="15" customHeight="1" x14ac:dyDescent="0.2">
      <c r="A7" s="1" t="s">
        <v>0</v>
      </c>
      <c r="B7" s="1" t="s">
        <v>10</v>
      </c>
      <c r="C7" s="1" t="s">
        <v>11</v>
      </c>
      <c r="D7" s="1">
        <v>1633</v>
      </c>
      <c r="E7" s="1">
        <v>1.2</v>
      </c>
      <c r="F7" s="41">
        <f t="shared" si="0"/>
        <v>1959.6</v>
      </c>
      <c r="G7" s="1" t="s">
        <v>3</v>
      </c>
      <c r="H7" s="37"/>
      <c r="I7" s="40"/>
      <c r="J7" s="40"/>
      <c r="L7" s="38"/>
    </row>
    <row r="8" spans="1:12" ht="15" customHeight="1" x14ac:dyDescent="0.2">
      <c r="A8" s="1" t="s">
        <v>0</v>
      </c>
      <c r="B8" s="1" t="s">
        <v>12</v>
      </c>
      <c r="C8" s="1" t="s">
        <v>13</v>
      </c>
      <c r="D8" s="1">
        <v>1853</v>
      </c>
      <c r="E8" s="1">
        <v>1.2</v>
      </c>
      <c r="F8" s="41">
        <f t="shared" si="0"/>
        <v>2223.6</v>
      </c>
      <c r="G8" s="1" t="s">
        <v>3</v>
      </c>
      <c r="H8" s="37"/>
      <c r="I8" s="40"/>
      <c r="J8" s="40"/>
      <c r="L8" s="38"/>
    </row>
    <row r="9" spans="1:12" ht="15" customHeight="1" x14ac:dyDescent="0.2">
      <c r="A9" s="1" t="s">
        <v>0</v>
      </c>
      <c r="B9" s="1" t="s">
        <v>14</v>
      </c>
      <c r="C9" s="1" t="s">
        <v>15</v>
      </c>
      <c r="D9" s="1">
        <v>2585</v>
      </c>
      <c r="E9" s="1">
        <v>1.2</v>
      </c>
      <c r="F9" s="41">
        <f t="shared" si="0"/>
        <v>3102</v>
      </c>
      <c r="G9" s="1" t="s">
        <v>3</v>
      </c>
      <c r="H9" s="37"/>
      <c r="I9" s="40"/>
      <c r="J9" s="40"/>
      <c r="L9" s="38"/>
    </row>
    <row r="10" spans="1:12" ht="15" customHeight="1" x14ac:dyDescent="0.2">
      <c r="A10" s="1" t="s">
        <v>0</v>
      </c>
      <c r="B10" s="1" t="s">
        <v>16</v>
      </c>
      <c r="C10" s="1" t="s">
        <v>17</v>
      </c>
      <c r="D10" s="23">
        <v>1764</v>
      </c>
      <c r="E10" s="1">
        <v>1.2</v>
      </c>
      <c r="F10" s="41">
        <f t="shared" si="0"/>
        <v>2116.7999999999997</v>
      </c>
      <c r="G10" s="1" t="s">
        <v>3</v>
      </c>
      <c r="H10" s="37"/>
      <c r="I10" s="40"/>
      <c r="J10" s="40"/>
      <c r="L10" s="38"/>
    </row>
    <row r="11" spans="1:12" ht="15" customHeight="1" x14ac:dyDescent="0.2">
      <c r="A11" s="1" t="s">
        <v>0</v>
      </c>
      <c r="B11" s="1" t="s">
        <v>18</v>
      </c>
      <c r="C11" s="1" t="s">
        <v>19</v>
      </c>
      <c r="D11" s="23">
        <v>1191</v>
      </c>
      <c r="E11" s="1">
        <v>1.2</v>
      </c>
      <c r="F11" s="41">
        <f t="shared" si="0"/>
        <v>1429.2</v>
      </c>
      <c r="G11" s="1" t="s">
        <v>3</v>
      </c>
      <c r="H11" s="37"/>
      <c r="I11" s="40"/>
      <c r="J11" s="40"/>
      <c r="L11" s="38"/>
    </row>
    <row r="12" spans="1:12" ht="15" customHeight="1" x14ac:dyDescent="0.2">
      <c r="A12" s="1" t="s">
        <v>0</v>
      </c>
      <c r="B12" s="1" t="s">
        <v>20</v>
      </c>
      <c r="C12" s="1" t="s">
        <v>21</v>
      </c>
      <c r="D12" s="23">
        <v>1996</v>
      </c>
      <c r="E12" s="1">
        <v>1.2</v>
      </c>
      <c r="F12" s="41">
        <f t="shared" si="0"/>
        <v>2395.1999999999998</v>
      </c>
      <c r="G12" s="1" t="s">
        <v>3</v>
      </c>
      <c r="H12" s="37"/>
      <c r="I12" s="40"/>
      <c r="J12" s="40"/>
      <c r="L12" s="38"/>
    </row>
    <row r="13" spans="1:12" ht="15" customHeight="1" x14ac:dyDescent="0.2">
      <c r="A13" s="1" t="s">
        <v>0</v>
      </c>
      <c r="B13" s="1" t="s">
        <v>22</v>
      </c>
      <c r="C13" s="1" t="s">
        <v>23</v>
      </c>
      <c r="D13" s="23">
        <v>2385</v>
      </c>
      <c r="E13" s="1">
        <v>1.2</v>
      </c>
      <c r="F13" s="41">
        <f t="shared" si="0"/>
        <v>2862</v>
      </c>
      <c r="G13" s="1" t="s">
        <v>3</v>
      </c>
      <c r="H13" s="37"/>
      <c r="I13" s="40"/>
      <c r="J13" s="40"/>
      <c r="L13" s="38"/>
    </row>
    <row r="14" spans="1:12" ht="15" customHeight="1" x14ac:dyDescent="0.2">
      <c r="A14" s="1" t="s">
        <v>0</v>
      </c>
      <c r="B14" s="1" t="s">
        <v>24</v>
      </c>
      <c r="C14" s="1" t="s">
        <v>25</v>
      </c>
      <c r="D14" s="23">
        <v>3133</v>
      </c>
      <c r="E14" s="1">
        <v>1.2</v>
      </c>
      <c r="F14" s="41">
        <f t="shared" si="0"/>
        <v>3759.6</v>
      </c>
      <c r="G14" s="1" t="s">
        <v>3</v>
      </c>
      <c r="H14" s="37"/>
      <c r="I14" s="40"/>
      <c r="J14" s="40"/>
      <c r="L14" s="38"/>
    </row>
    <row r="15" spans="1:12" ht="15" customHeight="1" x14ac:dyDescent="0.2">
      <c r="A15" s="1"/>
      <c r="F15" s="3"/>
      <c r="G15" s="1"/>
      <c r="H15" s="35"/>
    </row>
    <row r="16" spans="1:12" ht="15" customHeight="1" x14ac:dyDescent="0.2">
      <c r="A16" s="1"/>
      <c r="F16" s="3"/>
      <c r="H16" s="35"/>
    </row>
    <row r="17" spans="1:8" ht="15" customHeight="1" x14ac:dyDescent="0.2">
      <c r="F17" s="3"/>
      <c r="H17" s="35"/>
    </row>
    <row r="18" spans="1:8" ht="15" customHeight="1" x14ac:dyDescent="0.2">
      <c r="F18" s="3"/>
    </row>
    <row r="19" spans="1:8" ht="15" customHeight="1" x14ac:dyDescent="0.2">
      <c r="A19" s="1" t="s">
        <v>0</v>
      </c>
      <c r="B19" s="1" t="s">
        <v>26</v>
      </c>
      <c r="C19" s="1" t="s">
        <v>27</v>
      </c>
      <c r="D19" s="1">
        <v>265</v>
      </c>
      <c r="E19" s="1">
        <v>1.2</v>
      </c>
      <c r="F19" s="3">
        <f t="shared" ref="F19:F29" si="1">E19*D19</f>
        <v>318</v>
      </c>
      <c r="G19" s="1" t="s">
        <v>3</v>
      </c>
    </row>
    <row r="20" spans="1:8" ht="15" customHeight="1" x14ac:dyDescent="0.2">
      <c r="A20" s="1" t="s">
        <v>0</v>
      </c>
      <c r="B20" t="s">
        <v>408</v>
      </c>
      <c r="C20" s="1" t="s">
        <v>28</v>
      </c>
      <c r="D20" s="1">
        <v>150</v>
      </c>
      <c r="E20" s="1">
        <v>1.2</v>
      </c>
      <c r="F20" s="3">
        <f t="shared" si="1"/>
        <v>180</v>
      </c>
      <c r="G20" s="1" t="s">
        <v>3</v>
      </c>
    </row>
    <row r="21" spans="1:8" ht="15" customHeight="1" x14ac:dyDescent="0.2">
      <c r="A21" s="1" t="s">
        <v>0</v>
      </c>
      <c r="B21" s="1" t="s">
        <v>29</v>
      </c>
      <c r="C21" s="1" t="s">
        <v>30</v>
      </c>
      <c r="D21" s="1">
        <v>37</v>
      </c>
      <c r="E21" s="1">
        <v>1.2</v>
      </c>
      <c r="F21" s="3">
        <f t="shared" si="1"/>
        <v>44.4</v>
      </c>
      <c r="G21" s="1" t="s">
        <v>3</v>
      </c>
    </row>
    <row r="22" spans="1:8" ht="15" customHeight="1" x14ac:dyDescent="0.2">
      <c r="A22" s="1" t="s">
        <v>0</v>
      </c>
      <c r="B22" s="1" t="s">
        <v>31</v>
      </c>
      <c r="C22" s="1" t="s">
        <v>32</v>
      </c>
      <c r="D22" s="2">
        <f t="shared" ref="D22:D29" si="2">38/5</f>
        <v>7.6</v>
      </c>
      <c r="E22" s="1">
        <v>1.2</v>
      </c>
      <c r="F22" s="3">
        <f>E22*D22</f>
        <v>9.1199999999999992</v>
      </c>
      <c r="G22" s="1" t="s">
        <v>3</v>
      </c>
    </row>
    <row r="23" spans="1:8" ht="15" customHeight="1" x14ac:dyDescent="0.2">
      <c r="A23" s="1" t="s">
        <v>0</v>
      </c>
      <c r="B23" s="23" t="s">
        <v>279</v>
      </c>
      <c r="C23" s="1" t="s">
        <v>92</v>
      </c>
      <c r="D23" s="2">
        <f t="shared" si="2"/>
        <v>7.6</v>
      </c>
      <c r="E23" s="1">
        <v>1.2</v>
      </c>
      <c r="F23" s="3">
        <f>E23*D23</f>
        <v>9.1199999999999992</v>
      </c>
      <c r="G23" s="1" t="s">
        <v>3</v>
      </c>
    </row>
    <row r="24" spans="1:8" ht="15" customHeight="1" x14ac:dyDescent="0.2">
      <c r="A24" s="1" t="s">
        <v>0</v>
      </c>
      <c r="B24" s="1" t="s">
        <v>33</v>
      </c>
      <c r="C24" s="1" t="s">
        <v>34</v>
      </c>
      <c r="D24" s="2">
        <f t="shared" si="2"/>
        <v>7.6</v>
      </c>
      <c r="E24" s="1">
        <v>1.2</v>
      </c>
      <c r="F24" s="3">
        <f t="shared" si="1"/>
        <v>9.1199999999999992</v>
      </c>
      <c r="G24" s="1" t="s">
        <v>3</v>
      </c>
    </row>
    <row r="25" spans="1:8" ht="15" customHeight="1" x14ac:dyDescent="0.2">
      <c r="A25" s="1" t="s">
        <v>0</v>
      </c>
      <c r="B25" s="1" t="s">
        <v>35</v>
      </c>
      <c r="C25" s="1" t="s">
        <v>36</v>
      </c>
      <c r="D25" s="2">
        <f t="shared" si="2"/>
        <v>7.6</v>
      </c>
      <c r="E25" s="1">
        <v>1.2</v>
      </c>
      <c r="F25" s="3">
        <f t="shared" si="1"/>
        <v>9.1199999999999992</v>
      </c>
      <c r="G25" s="1" t="s">
        <v>3</v>
      </c>
    </row>
    <row r="26" spans="1:8" ht="15" customHeight="1" x14ac:dyDescent="0.2">
      <c r="A26" s="1" t="s">
        <v>0</v>
      </c>
      <c r="B26" s="1" t="s">
        <v>37</v>
      </c>
      <c r="C26" s="1" t="s">
        <v>38</v>
      </c>
      <c r="D26" s="2">
        <f t="shared" si="2"/>
        <v>7.6</v>
      </c>
      <c r="E26" s="1">
        <v>1.2</v>
      </c>
      <c r="F26" s="3">
        <f t="shared" si="1"/>
        <v>9.1199999999999992</v>
      </c>
      <c r="G26" s="1" t="s">
        <v>3</v>
      </c>
    </row>
    <row r="27" spans="1:8" ht="15" customHeight="1" x14ac:dyDescent="0.2">
      <c r="A27" s="1" t="s">
        <v>0</v>
      </c>
      <c r="B27" s="1" t="s">
        <v>39</v>
      </c>
      <c r="C27" s="1" t="s">
        <v>40</v>
      </c>
      <c r="D27" s="2">
        <f t="shared" si="2"/>
        <v>7.6</v>
      </c>
      <c r="E27" s="1">
        <v>1.2</v>
      </c>
      <c r="F27" s="3">
        <f t="shared" si="1"/>
        <v>9.1199999999999992</v>
      </c>
      <c r="G27" s="1" t="s">
        <v>3</v>
      </c>
    </row>
    <row r="28" spans="1:8" ht="15" customHeight="1" x14ac:dyDescent="0.2">
      <c r="A28" s="1" t="s">
        <v>0</v>
      </c>
      <c r="B28" s="1" t="s">
        <v>41</v>
      </c>
      <c r="C28" s="1" t="s">
        <v>42</v>
      </c>
      <c r="D28" s="2">
        <f t="shared" si="2"/>
        <v>7.6</v>
      </c>
      <c r="E28" s="1">
        <v>1.2</v>
      </c>
      <c r="F28" s="3">
        <f t="shared" si="1"/>
        <v>9.1199999999999992</v>
      </c>
      <c r="G28" s="1" t="s">
        <v>3</v>
      </c>
    </row>
    <row r="29" spans="1:8" ht="15" customHeight="1" x14ac:dyDescent="0.2">
      <c r="A29" s="1" t="s">
        <v>0</v>
      </c>
      <c r="B29" s="1" t="s">
        <v>43</v>
      </c>
      <c r="C29" s="1" t="s">
        <v>44</v>
      </c>
      <c r="D29" s="2">
        <f t="shared" si="2"/>
        <v>7.6</v>
      </c>
      <c r="E29" s="1">
        <v>1.2</v>
      </c>
      <c r="F29" s="3">
        <f t="shared" si="1"/>
        <v>9.1199999999999992</v>
      </c>
      <c r="G29" s="1" t="s">
        <v>3</v>
      </c>
    </row>
    <row r="31" spans="1:8" ht="15" customHeight="1" x14ac:dyDescent="0.2">
      <c r="A31" s="1" t="s">
        <v>45</v>
      </c>
      <c r="B31" s="23" t="s">
        <v>270</v>
      </c>
      <c r="C31" s="22" t="s">
        <v>269</v>
      </c>
      <c r="E31" s="22" t="s">
        <v>280</v>
      </c>
      <c r="F31" s="1">
        <v>896</v>
      </c>
      <c r="G31" s="24" t="s">
        <v>3</v>
      </c>
    </row>
    <row r="32" spans="1:8" ht="15" customHeight="1" x14ac:dyDescent="0.2">
      <c r="A32" s="23" t="s">
        <v>405</v>
      </c>
      <c r="B32" s="23" t="s">
        <v>406</v>
      </c>
      <c r="C32" s="23" t="s">
        <v>404</v>
      </c>
      <c r="E32" s="23"/>
      <c r="F32" s="1">
        <v>1226</v>
      </c>
      <c r="G32" s="24" t="s">
        <v>3</v>
      </c>
    </row>
    <row r="34" spans="1:7" ht="15" customHeight="1" x14ac:dyDescent="0.2">
      <c r="A34" s="1" t="s">
        <v>46</v>
      </c>
      <c r="B34" s="1" t="s">
        <v>47</v>
      </c>
      <c r="C34" s="1">
        <v>62</v>
      </c>
      <c r="F34" s="1">
        <v>75</v>
      </c>
      <c r="G34" s="1" t="s">
        <v>3</v>
      </c>
    </row>
    <row r="35" spans="1:7" ht="15" customHeight="1" x14ac:dyDescent="0.2">
      <c r="A35" s="1" t="s">
        <v>46</v>
      </c>
      <c r="B35" s="1" t="s">
        <v>48</v>
      </c>
      <c r="C35" s="1">
        <v>63</v>
      </c>
      <c r="F35" s="1">
        <v>100</v>
      </c>
      <c r="G35" s="1" t="s">
        <v>3</v>
      </c>
    </row>
    <row r="36" spans="1:7" s="30" customFormat="1" ht="15" customHeight="1" x14ac:dyDescent="0.2">
      <c r="A36" s="1" t="s">
        <v>46</v>
      </c>
      <c r="B36" s="23" t="s">
        <v>402</v>
      </c>
      <c r="C36" s="1">
        <v>66</v>
      </c>
      <c r="F36" s="1">
        <v>200</v>
      </c>
      <c r="G36" s="1" t="s">
        <v>3</v>
      </c>
    </row>
    <row r="37" spans="1:7" ht="15" customHeight="1" x14ac:dyDescent="0.2">
      <c r="A37" s="1" t="s">
        <v>46</v>
      </c>
      <c r="B37" s="22" t="s">
        <v>281</v>
      </c>
      <c r="C37" s="1">
        <v>67</v>
      </c>
      <c r="F37" s="1">
        <v>200</v>
      </c>
      <c r="G37" s="1" t="s">
        <v>3</v>
      </c>
    </row>
    <row r="38" spans="1:7" ht="15" customHeight="1" x14ac:dyDescent="0.2">
      <c r="A38" s="1" t="s">
        <v>46</v>
      </c>
      <c r="B38" s="23" t="s">
        <v>49</v>
      </c>
      <c r="C38" s="1" t="s">
        <v>50</v>
      </c>
      <c r="F38" s="1">
        <v>50</v>
      </c>
      <c r="G38" s="1" t="s">
        <v>3</v>
      </c>
    </row>
    <row r="39" spans="1:7" ht="15" customHeight="1" x14ac:dyDescent="0.2">
      <c r="A39" s="1" t="s">
        <v>46</v>
      </c>
      <c r="B39" s="1" t="s">
        <v>51</v>
      </c>
      <c r="C39" s="1" t="s">
        <v>52</v>
      </c>
      <c r="F39" s="1">
        <v>75</v>
      </c>
      <c r="G39" s="1" t="s">
        <v>3</v>
      </c>
    </row>
    <row r="40" spans="1:7" ht="15" customHeight="1" x14ac:dyDescent="0.2">
      <c r="A40" s="1" t="s">
        <v>46</v>
      </c>
      <c r="B40" s="1" t="s">
        <v>53</v>
      </c>
      <c r="C40" s="1" t="s">
        <v>54</v>
      </c>
      <c r="F40" s="1">
        <v>150</v>
      </c>
      <c r="G40" s="1" t="s">
        <v>3</v>
      </c>
    </row>
    <row r="41" spans="1:7" ht="15" customHeight="1" x14ac:dyDescent="0.2">
      <c r="A41" s="1" t="s">
        <v>46</v>
      </c>
      <c r="B41" s="1" t="s">
        <v>55</v>
      </c>
      <c r="C41" s="1" t="s">
        <v>56</v>
      </c>
      <c r="F41" s="1">
        <v>250</v>
      </c>
      <c r="G41" s="1" t="s">
        <v>3</v>
      </c>
    </row>
    <row r="42" spans="1:7" ht="15" customHeight="1" x14ac:dyDescent="0.2">
      <c r="A42" s="1" t="s">
        <v>46</v>
      </c>
      <c r="B42" s="1" t="s">
        <v>57</v>
      </c>
      <c r="C42" s="1" t="s">
        <v>58</v>
      </c>
      <c r="F42" s="1">
        <v>100</v>
      </c>
      <c r="G42" s="1" t="s">
        <v>3</v>
      </c>
    </row>
    <row r="43" spans="1:7" ht="15" customHeight="1" x14ac:dyDescent="0.2">
      <c r="A43" s="1" t="s">
        <v>46</v>
      </c>
      <c r="B43" s="1" t="s">
        <v>59</v>
      </c>
      <c r="C43" s="1" t="s">
        <v>60</v>
      </c>
      <c r="F43" s="1">
        <v>120</v>
      </c>
      <c r="G43" s="1" t="s">
        <v>3</v>
      </c>
    </row>
    <row r="44" spans="1:7" ht="15" customHeight="1" x14ac:dyDescent="0.2">
      <c r="A44" s="1" t="s">
        <v>46</v>
      </c>
      <c r="B44" s="1" t="s">
        <v>61</v>
      </c>
      <c r="C44" s="1" t="s">
        <v>62</v>
      </c>
      <c r="F44" s="1">
        <v>125</v>
      </c>
      <c r="G44" s="1" t="s">
        <v>3</v>
      </c>
    </row>
    <row r="45" spans="1:7" ht="15" customHeight="1" x14ac:dyDescent="0.2">
      <c r="A45" s="1" t="s">
        <v>46</v>
      </c>
      <c r="B45" s="1" t="s">
        <v>63</v>
      </c>
      <c r="C45" s="1" t="s">
        <v>64</v>
      </c>
      <c r="F45" s="1">
        <v>20</v>
      </c>
      <c r="G45" s="1" t="s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>
    <outlinePr summaryBelow="0" summaryRight="0"/>
  </sheetPr>
  <dimension ref="A1:AA353"/>
  <sheetViews>
    <sheetView zoomScaleNormal="100" workbookViewId="0">
      <selection activeCell="I15" sqref="I15"/>
    </sheetView>
  </sheetViews>
  <sheetFormatPr defaultColWidth="12.5703125" defaultRowHeight="15.75" customHeight="1" x14ac:dyDescent="0.2"/>
  <cols>
    <col min="1" max="1" width="12" customWidth="1"/>
    <col min="2" max="2" width="46.85546875" customWidth="1"/>
    <col min="3" max="3" width="19.140625" customWidth="1"/>
    <col min="5" max="5" width="17.85546875" bestFit="1" customWidth="1"/>
    <col min="6" max="6" width="16.28515625" bestFit="1" customWidth="1"/>
    <col min="8" max="8" width="20.140625" customWidth="1"/>
  </cols>
  <sheetData>
    <row r="1" spans="1:27" ht="24" customHeight="1" x14ac:dyDescent="0.2">
      <c r="A1" s="4"/>
      <c r="B1" s="4"/>
      <c r="C1" s="4"/>
      <c r="D1" s="3"/>
      <c r="E1" s="3"/>
      <c r="F1" s="3"/>
      <c r="G1" s="3"/>
      <c r="H1" s="6" t="s">
        <v>263</v>
      </c>
      <c r="I1" s="3" t="s">
        <v>268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5.5" x14ac:dyDescent="0.2">
      <c r="A2" s="5" t="s">
        <v>46</v>
      </c>
      <c r="B2" s="5" t="s">
        <v>65</v>
      </c>
      <c r="C2" s="5" t="s">
        <v>66</v>
      </c>
      <c r="D2" s="6" t="s">
        <v>265</v>
      </c>
      <c r="E2" s="6" t="s">
        <v>264</v>
      </c>
      <c r="F2" s="6" t="s">
        <v>266</v>
      </c>
      <c r="G2" s="6"/>
      <c r="H2" s="28" t="str">
        <f>C2</f>
        <v>TMS4801001003</v>
      </c>
      <c r="I2" s="20">
        <f>F9</f>
        <v>2087.4399999999996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2.75" x14ac:dyDescent="0.2">
      <c r="C3" s="1" t="s">
        <v>2</v>
      </c>
      <c r="D3" s="1">
        <v>1</v>
      </c>
      <c r="E3">
        <f>Компонети!$F$3</f>
        <v>748.8</v>
      </c>
      <c r="F3">
        <f>E3*D3</f>
        <v>748.8</v>
      </c>
      <c r="H3" s="28" t="str">
        <f>C10</f>
        <v>TMS4801001003GX</v>
      </c>
      <c r="I3" s="20">
        <f>F17</f>
        <v>2191.8399999999997</v>
      </c>
    </row>
    <row r="4" spans="1:27" ht="12.75" x14ac:dyDescent="0.2">
      <c r="C4" s="1" t="s">
        <v>404</v>
      </c>
      <c r="D4" s="1">
        <v>1</v>
      </c>
      <c r="E4">
        <f>Компонети!$F$32</f>
        <v>1226</v>
      </c>
      <c r="F4">
        <f t="shared" ref="F4:F65" si="0">E4*D4</f>
        <v>1226</v>
      </c>
      <c r="H4" s="28" t="str">
        <f>C18</f>
        <v>TMS4802001005</v>
      </c>
      <c r="I4" s="20">
        <f>F29</f>
        <v>3981.56</v>
      </c>
    </row>
    <row r="5" spans="1:27" ht="12.75" x14ac:dyDescent="0.2">
      <c r="C5" s="1" t="s">
        <v>30</v>
      </c>
      <c r="D5" s="1">
        <v>1</v>
      </c>
      <c r="E5">
        <f>Компонети!$F$21</f>
        <v>44.4</v>
      </c>
      <c r="F5">
        <f t="shared" si="0"/>
        <v>44.4</v>
      </c>
      <c r="H5" s="28" t="str">
        <f>C30</f>
        <v>TMS4802001005GX</v>
      </c>
      <c r="I5" s="20">
        <f>F41</f>
        <v>4217.96</v>
      </c>
    </row>
    <row r="6" spans="1:27" ht="12.75" x14ac:dyDescent="0.2">
      <c r="C6" s="1" t="s">
        <v>44</v>
      </c>
      <c r="D6" s="1">
        <v>1</v>
      </c>
      <c r="E6">
        <f>Компонети!$F$29</f>
        <v>9.1199999999999992</v>
      </c>
      <c r="F6">
        <f t="shared" si="0"/>
        <v>9.1199999999999992</v>
      </c>
      <c r="H6" s="28" t="str">
        <f>C42</f>
        <v>TMS4803001005GX</v>
      </c>
      <c r="I6" s="20">
        <f>F53</f>
        <v>5473.08</v>
      </c>
    </row>
    <row r="7" spans="1:27" ht="12.75" x14ac:dyDescent="0.2">
      <c r="C7" s="1" t="s">
        <v>32</v>
      </c>
      <c r="D7" s="1">
        <v>1</v>
      </c>
      <c r="E7">
        <f>Компонети!$F$22</f>
        <v>9.1199999999999992</v>
      </c>
      <c r="F7">
        <f t="shared" si="0"/>
        <v>9.1199999999999992</v>
      </c>
      <c r="H7" s="28" t="str">
        <f>C54</f>
        <v>TMS4802001008GX</v>
      </c>
      <c r="I7" s="20">
        <f>F66</f>
        <v>5271.36</v>
      </c>
    </row>
    <row r="8" spans="1:27" ht="12.75" x14ac:dyDescent="0.2">
      <c r="C8" s="1" t="s">
        <v>50</v>
      </c>
      <c r="D8" s="1">
        <v>1</v>
      </c>
      <c r="E8">
        <f>Компонети!$F$38</f>
        <v>50</v>
      </c>
      <c r="F8">
        <f t="shared" si="0"/>
        <v>50</v>
      </c>
      <c r="H8" s="28" t="str">
        <f>C67</f>
        <v>TMS4803001008GX</v>
      </c>
      <c r="I8" s="20">
        <f>F79</f>
        <v>6526.48</v>
      </c>
    </row>
    <row r="9" spans="1:27" ht="15.75" customHeight="1" x14ac:dyDescent="0.25">
      <c r="E9" s="19" t="s">
        <v>267</v>
      </c>
      <c r="F9" s="21">
        <f>SUM(F3:F8)</f>
        <v>2087.4399999999996</v>
      </c>
      <c r="H9" s="28" t="str">
        <f>C80</f>
        <v>TMS4803001010GX</v>
      </c>
      <c r="I9" s="20">
        <f>F92</f>
        <v>6834.88</v>
      </c>
    </row>
    <row r="10" spans="1:27" ht="25.5" x14ac:dyDescent="0.2">
      <c r="A10" s="5" t="s">
        <v>46</v>
      </c>
      <c r="B10" s="5" t="s">
        <v>67</v>
      </c>
      <c r="C10" s="5" t="s">
        <v>68</v>
      </c>
      <c r="D10" s="6"/>
      <c r="E10" s="6"/>
      <c r="G10" s="6"/>
      <c r="H10" s="28" t="str">
        <f>C93</f>
        <v>TMS4804001010GX</v>
      </c>
      <c r="I10" s="20">
        <f>F105</f>
        <v>8290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2.75" x14ac:dyDescent="0.2">
      <c r="C11" s="1" t="s">
        <v>5</v>
      </c>
      <c r="D11" s="1">
        <v>1</v>
      </c>
      <c r="E11">
        <f>Компонети!$F$4</f>
        <v>853.19999999999993</v>
      </c>
      <c r="F11">
        <f t="shared" si="0"/>
        <v>853.19999999999993</v>
      </c>
      <c r="H11" s="28" t="str">
        <f>C106</f>
        <v>TMS4804001015GX</v>
      </c>
      <c r="I11" s="20">
        <f>F118</f>
        <v>9177.52</v>
      </c>
    </row>
    <row r="12" spans="1:27" ht="12.75" x14ac:dyDescent="0.2">
      <c r="C12" s="1" t="s">
        <v>404</v>
      </c>
      <c r="D12" s="1">
        <v>1</v>
      </c>
      <c r="E12">
        <f>Компонети!$F$32</f>
        <v>1226</v>
      </c>
      <c r="F12">
        <f t="shared" si="0"/>
        <v>1226</v>
      </c>
      <c r="H12" s="28" t="str">
        <f>C119</f>
        <v>TMS4805001015GX</v>
      </c>
      <c r="I12" s="20">
        <f>F131</f>
        <v>10437.64</v>
      </c>
    </row>
    <row r="13" spans="1:27" ht="12.75" x14ac:dyDescent="0.2">
      <c r="C13" s="1" t="s">
        <v>30</v>
      </c>
      <c r="D13" s="1">
        <v>1</v>
      </c>
      <c r="E13">
        <f>Компонети!$F$21</f>
        <v>44.4</v>
      </c>
      <c r="F13">
        <f t="shared" si="0"/>
        <v>44.4</v>
      </c>
      <c r="H13" s="28" t="str">
        <f>C132</f>
        <v>TMS4806001015GX</v>
      </c>
      <c r="I13" s="20">
        <f>F144</f>
        <v>11692.76</v>
      </c>
    </row>
    <row r="14" spans="1:27" ht="12.75" x14ac:dyDescent="0.2">
      <c r="C14" s="1" t="s">
        <v>44</v>
      </c>
      <c r="D14" s="1">
        <v>1</v>
      </c>
      <c r="E14">
        <f>Компонети!$F$29</f>
        <v>9.1199999999999992</v>
      </c>
      <c r="F14">
        <f t="shared" si="0"/>
        <v>9.1199999999999992</v>
      </c>
      <c r="H14" s="28" t="str">
        <f>C146</f>
        <v>TMS4802003009GX</v>
      </c>
      <c r="I14" s="20">
        <f>F158</f>
        <v>6045.1999999999989</v>
      </c>
    </row>
    <row r="15" spans="1:27" ht="12.75" x14ac:dyDescent="0.2">
      <c r="C15" s="1" t="s">
        <v>32</v>
      </c>
      <c r="D15" s="1">
        <v>1</v>
      </c>
      <c r="E15">
        <f>Компонети!$F$22</f>
        <v>9.1199999999999992</v>
      </c>
      <c r="F15">
        <f t="shared" si="0"/>
        <v>9.1199999999999992</v>
      </c>
      <c r="H15" s="28" t="str">
        <f>C159</f>
        <v>TMS4803003009GX</v>
      </c>
      <c r="I15" s="20">
        <f>F171</f>
        <v>7300.32</v>
      </c>
    </row>
    <row r="16" spans="1:27" ht="12.75" x14ac:dyDescent="0.2">
      <c r="C16" s="1" t="s">
        <v>50</v>
      </c>
      <c r="D16" s="1">
        <v>1</v>
      </c>
      <c r="E16">
        <f>Компонети!$F$38</f>
        <v>50</v>
      </c>
      <c r="F16">
        <f t="shared" si="0"/>
        <v>50</v>
      </c>
      <c r="H16" s="28" t="str">
        <f>C172</f>
        <v>TMS4804003009GX</v>
      </c>
      <c r="I16" s="20">
        <f>F184</f>
        <v>8575.4399999999987</v>
      </c>
    </row>
    <row r="17" spans="1:27" ht="15.75" customHeight="1" x14ac:dyDescent="0.25">
      <c r="E17" s="19" t="s">
        <v>267</v>
      </c>
      <c r="F17" s="21">
        <f>SUM(F11:F16)</f>
        <v>2191.8399999999997</v>
      </c>
      <c r="H17" s="28" t="str">
        <f>C185</f>
        <v>TMS4803003015GX</v>
      </c>
      <c r="I17" s="20">
        <f>F197</f>
        <v>8092.32</v>
      </c>
    </row>
    <row r="18" spans="1:27" ht="25.5" x14ac:dyDescent="0.2">
      <c r="A18" s="5" t="s">
        <v>46</v>
      </c>
      <c r="B18" s="5" t="s">
        <v>69</v>
      </c>
      <c r="C18" s="5" t="s">
        <v>70</v>
      </c>
      <c r="D18" s="6"/>
      <c r="E18" s="6"/>
      <c r="G18" s="6"/>
      <c r="H18" s="28" t="str">
        <f>C198</f>
        <v>TMS4804003015GX</v>
      </c>
      <c r="I18" s="20">
        <f>F210</f>
        <v>9367.4399999999987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2.75" x14ac:dyDescent="0.2">
      <c r="C19" s="1" t="s">
        <v>7</v>
      </c>
      <c r="D19" s="1">
        <v>1</v>
      </c>
      <c r="E19">
        <f>Компонети!$F$5</f>
        <v>1012.8</v>
      </c>
      <c r="F19">
        <f t="shared" si="0"/>
        <v>1012.8</v>
      </c>
      <c r="H19" s="28" t="str">
        <f>C211</f>
        <v>TMS4805003015GX</v>
      </c>
      <c r="I19" s="20">
        <f>F223</f>
        <v>10627.56</v>
      </c>
    </row>
    <row r="20" spans="1:27" ht="12.75" x14ac:dyDescent="0.2">
      <c r="C20" s="1" t="s">
        <v>28</v>
      </c>
      <c r="D20" s="1">
        <v>1</v>
      </c>
      <c r="E20">
        <f>Компонети!$F$20</f>
        <v>180</v>
      </c>
      <c r="F20">
        <f t="shared" si="0"/>
        <v>180</v>
      </c>
      <c r="H20" s="28" t="str">
        <f>C224</f>
        <v>TMS4805003024GX</v>
      </c>
      <c r="I20" s="20">
        <f>F236</f>
        <v>13567.96</v>
      </c>
    </row>
    <row r="21" spans="1:27" ht="12.75" x14ac:dyDescent="0.2">
      <c r="C21" s="1" t="s">
        <v>30</v>
      </c>
      <c r="D21" s="1">
        <v>1</v>
      </c>
      <c r="E21">
        <f>Компонети!$F$21</f>
        <v>44.4</v>
      </c>
      <c r="F21">
        <f t="shared" si="0"/>
        <v>44.4</v>
      </c>
      <c r="H21" s="28" t="str">
        <f>C237</f>
        <v>TMS4806003024GX</v>
      </c>
      <c r="I21" s="20">
        <f>F249</f>
        <v>15003.079999999998</v>
      </c>
    </row>
    <row r="22" spans="1:27" ht="12.75" x14ac:dyDescent="0.2">
      <c r="C22" s="1" t="s">
        <v>32</v>
      </c>
      <c r="D22" s="1">
        <v>2</v>
      </c>
      <c r="E22">
        <f>Компонети!$F$22</f>
        <v>9.1199999999999992</v>
      </c>
      <c r="F22">
        <f t="shared" si="0"/>
        <v>18.239999999999998</v>
      </c>
      <c r="H22" s="28" t="str">
        <f>C250</f>
        <v>TMS4808003024GX</v>
      </c>
      <c r="I22" s="20">
        <f>F262</f>
        <v>17628.32</v>
      </c>
    </row>
    <row r="23" spans="1:27" ht="12.75" x14ac:dyDescent="0.2">
      <c r="C23" s="1" t="s">
        <v>34</v>
      </c>
      <c r="D23" s="1">
        <v>1</v>
      </c>
      <c r="E23">
        <f>Компонети!$F$24</f>
        <v>9.1199999999999992</v>
      </c>
      <c r="F23">
        <f t="shared" si="0"/>
        <v>9.1199999999999992</v>
      </c>
      <c r="H23" s="28" t="str">
        <f>C263</f>
        <v>TMS4810003024GX</v>
      </c>
      <c r="I23" s="20">
        <f>F275</f>
        <v>20148.559999999998</v>
      </c>
    </row>
    <row r="24" spans="1:27" ht="12.75" x14ac:dyDescent="0.2">
      <c r="C24" s="1" t="s">
        <v>404</v>
      </c>
      <c r="D24" s="1">
        <v>2</v>
      </c>
      <c r="E24">
        <f>Компонети!$F$32</f>
        <v>1226</v>
      </c>
      <c r="F24">
        <f t="shared" si="0"/>
        <v>2452</v>
      </c>
      <c r="H24" s="28" t="str">
        <f>C276</f>
        <v>TMS4808003030GX</v>
      </c>
      <c r="I24" s="20">
        <f>F288</f>
        <v>18760.879999999997</v>
      </c>
    </row>
    <row r="25" spans="1:27" ht="12.75" x14ac:dyDescent="0.2">
      <c r="C25" s="1">
        <v>62</v>
      </c>
      <c r="D25" s="1">
        <v>1</v>
      </c>
      <c r="E25">
        <f>Компонети!$F$34</f>
        <v>75</v>
      </c>
      <c r="F25">
        <f t="shared" si="0"/>
        <v>75</v>
      </c>
      <c r="H25" s="28" t="str">
        <f>C289</f>
        <v>TMS4810003030GX</v>
      </c>
      <c r="I25" s="20">
        <f>F301</f>
        <v>21281.119999999999</v>
      </c>
    </row>
    <row r="26" spans="1:27" ht="12.75" x14ac:dyDescent="0.2">
      <c r="C26" s="1" t="s">
        <v>50</v>
      </c>
      <c r="D26" s="1">
        <v>1</v>
      </c>
      <c r="E26">
        <f>Компонети!$F$38</f>
        <v>50</v>
      </c>
      <c r="F26">
        <f t="shared" si="0"/>
        <v>50</v>
      </c>
      <c r="H26" s="28" t="str">
        <f>C302</f>
        <v>TMS4812003030GX</v>
      </c>
      <c r="I26" s="20">
        <f>F314</f>
        <v>24081.360000000001</v>
      </c>
    </row>
    <row r="27" spans="1:27" ht="12.75" x14ac:dyDescent="0.2">
      <c r="C27" s="2" t="s">
        <v>58</v>
      </c>
      <c r="D27" s="1">
        <v>1</v>
      </c>
      <c r="E27">
        <f>Компонети!$F$42</f>
        <v>100</v>
      </c>
      <c r="F27">
        <f t="shared" si="0"/>
        <v>100</v>
      </c>
      <c r="H27" s="28" t="str">
        <f>C315</f>
        <v>TMS4809003045GX</v>
      </c>
      <c r="I27" s="20">
        <f>F327</f>
        <v>22661.199999999997</v>
      </c>
    </row>
    <row r="28" spans="1:27" ht="12.75" x14ac:dyDescent="0.2">
      <c r="C28" s="2" t="s">
        <v>64</v>
      </c>
      <c r="D28" s="1">
        <v>2</v>
      </c>
      <c r="E28">
        <f>Компонети!$F$45</f>
        <v>20</v>
      </c>
      <c r="F28">
        <f t="shared" si="0"/>
        <v>40</v>
      </c>
      <c r="H28" s="28" t="str">
        <f>C328</f>
        <v>TMS4812003045GX</v>
      </c>
      <c r="I28" s="20">
        <f>F340</f>
        <v>26606.559999999998</v>
      </c>
    </row>
    <row r="29" spans="1:27" ht="15.75" customHeight="1" x14ac:dyDescent="0.25">
      <c r="E29" s="19" t="s">
        <v>267</v>
      </c>
      <c r="F29" s="21">
        <f>SUM(F19:F28)</f>
        <v>3981.56</v>
      </c>
      <c r="H29" s="28" t="str">
        <f>C341</f>
        <v>TMS4815003045GX</v>
      </c>
      <c r="I29" s="20">
        <f>F353</f>
        <v>30676.92</v>
      </c>
    </row>
    <row r="30" spans="1:27" ht="25.5" x14ac:dyDescent="0.2">
      <c r="A30" s="5" t="s">
        <v>46</v>
      </c>
      <c r="B30" s="5" t="s">
        <v>71</v>
      </c>
      <c r="C30" s="31" t="s">
        <v>72</v>
      </c>
      <c r="D30" s="6"/>
      <c r="E30" s="6"/>
      <c r="G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2.75" x14ac:dyDescent="0.2">
      <c r="C31" s="1" t="s">
        <v>9</v>
      </c>
      <c r="D31" s="1">
        <v>1</v>
      </c>
      <c r="E31">
        <f>Компонети!$F$6</f>
        <v>1249.2</v>
      </c>
      <c r="F31">
        <f t="shared" si="0"/>
        <v>1249.2</v>
      </c>
    </row>
    <row r="32" spans="1:27" ht="12.75" x14ac:dyDescent="0.2">
      <c r="C32" s="1" t="s">
        <v>28</v>
      </c>
      <c r="D32" s="1">
        <v>1</v>
      </c>
      <c r="E32">
        <f>Компонети!$F$20</f>
        <v>180</v>
      </c>
      <c r="F32">
        <f t="shared" si="0"/>
        <v>180</v>
      </c>
    </row>
    <row r="33" spans="1:27" ht="12.75" x14ac:dyDescent="0.2">
      <c r="C33" s="1" t="s">
        <v>30</v>
      </c>
      <c r="D33" s="1">
        <v>1</v>
      </c>
      <c r="E33">
        <f>Компонети!$F$21</f>
        <v>44.4</v>
      </c>
      <c r="F33">
        <f t="shared" si="0"/>
        <v>44.4</v>
      </c>
    </row>
    <row r="34" spans="1:27" ht="12.75" x14ac:dyDescent="0.2">
      <c r="C34" s="1" t="s">
        <v>32</v>
      </c>
      <c r="D34" s="1">
        <v>2</v>
      </c>
      <c r="E34">
        <f>Компонети!$F$22</f>
        <v>9.1199999999999992</v>
      </c>
      <c r="F34">
        <f t="shared" si="0"/>
        <v>18.239999999999998</v>
      </c>
    </row>
    <row r="35" spans="1:27" ht="12.75" x14ac:dyDescent="0.2">
      <c r="C35" s="1" t="s">
        <v>34</v>
      </c>
      <c r="D35" s="1">
        <v>1</v>
      </c>
      <c r="E35">
        <f>Компонети!$F$24</f>
        <v>9.1199999999999992</v>
      </c>
      <c r="F35">
        <f t="shared" si="0"/>
        <v>9.1199999999999992</v>
      </c>
    </row>
    <row r="36" spans="1:27" ht="15.75" customHeight="1" x14ac:dyDescent="0.2">
      <c r="C36" s="1" t="s">
        <v>404</v>
      </c>
      <c r="D36" s="1">
        <v>2</v>
      </c>
      <c r="E36">
        <f>Компонети!$F$32</f>
        <v>1226</v>
      </c>
      <c r="F36">
        <f t="shared" si="0"/>
        <v>2452</v>
      </c>
    </row>
    <row r="37" spans="1:27" ht="12.75" x14ac:dyDescent="0.2">
      <c r="C37" s="1">
        <v>62</v>
      </c>
      <c r="D37" s="1">
        <v>1</v>
      </c>
      <c r="E37">
        <f>Компонети!$F$34</f>
        <v>75</v>
      </c>
      <c r="F37">
        <f t="shared" si="0"/>
        <v>75</v>
      </c>
    </row>
    <row r="38" spans="1:27" ht="12.75" x14ac:dyDescent="0.2">
      <c r="C38" s="1" t="s">
        <v>50</v>
      </c>
      <c r="D38" s="1">
        <v>1</v>
      </c>
      <c r="E38">
        <f>Компонети!$F$38</f>
        <v>50</v>
      </c>
      <c r="F38">
        <f t="shared" si="0"/>
        <v>50</v>
      </c>
    </row>
    <row r="39" spans="1:27" ht="12.75" x14ac:dyDescent="0.2">
      <c r="C39" s="2" t="s">
        <v>58</v>
      </c>
      <c r="D39" s="1">
        <v>1</v>
      </c>
      <c r="E39">
        <f>Компонети!$F$42</f>
        <v>100</v>
      </c>
      <c r="F39">
        <f t="shared" si="0"/>
        <v>100</v>
      </c>
    </row>
    <row r="40" spans="1:27" ht="12.75" x14ac:dyDescent="0.2">
      <c r="C40" s="2" t="s">
        <v>64</v>
      </c>
      <c r="D40" s="1">
        <v>2</v>
      </c>
      <c r="E40">
        <f>Компонети!$F$45</f>
        <v>20</v>
      </c>
      <c r="F40">
        <f t="shared" si="0"/>
        <v>40</v>
      </c>
    </row>
    <row r="41" spans="1:27" ht="15.75" customHeight="1" x14ac:dyDescent="0.25">
      <c r="E41" s="19" t="s">
        <v>267</v>
      </c>
      <c r="F41" s="21">
        <f>SUM(F31:F40)</f>
        <v>4217.96</v>
      </c>
    </row>
    <row r="42" spans="1:27" ht="25.5" x14ac:dyDescent="0.2">
      <c r="A42" s="5" t="s">
        <v>46</v>
      </c>
      <c r="B42" s="5" t="s">
        <v>73</v>
      </c>
      <c r="C42" s="31" t="s">
        <v>74</v>
      </c>
      <c r="D42" s="6"/>
      <c r="E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2.75" x14ac:dyDescent="0.2">
      <c r="C43" s="1" t="s">
        <v>9</v>
      </c>
      <c r="D43" s="1">
        <v>1</v>
      </c>
      <c r="E43">
        <f>Компонети!$F$6</f>
        <v>1249.2</v>
      </c>
      <c r="F43">
        <f t="shared" si="0"/>
        <v>1249.2</v>
      </c>
    </row>
    <row r="44" spans="1:27" ht="12.75" x14ac:dyDescent="0.2">
      <c r="C44" s="1" t="s">
        <v>28</v>
      </c>
      <c r="D44" s="1">
        <v>1</v>
      </c>
      <c r="E44">
        <f>Компонети!$F$20</f>
        <v>180</v>
      </c>
      <c r="F44">
        <f t="shared" si="0"/>
        <v>180</v>
      </c>
    </row>
    <row r="45" spans="1:27" ht="12.75" x14ac:dyDescent="0.2">
      <c r="C45" s="1" t="s">
        <v>30</v>
      </c>
      <c r="D45" s="1">
        <v>1</v>
      </c>
      <c r="E45">
        <f>Компонети!$F$21</f>
        <v>44.4</v>
      </c>
      <c r="F45">
        <f t="shared" si="0"/>
        <v>44.4</v>
      </c>
    </row>
    <row r="46" spans="1:27" ht="12.75" x14ac:dyDescent="0.2">
      <c r="C46" s="1" t="s">
        <v>32</v>
      </c>
      <c r="D46" s="1">
        <v>3</v>
      </c>
      <c r="E46">
        <f>Компонети!$F$22</f>
        <v>9.1199999999999992</v>
      </c>
      <c r="F46">
        <f t="shared" si="0"/>
        <v>27.36</v>
      </c>
    </row>
    <row r="47" spans="1:27" ht="12.75" x14ac:dyDescent="0.2">
      <c r="C47" s="1" t="s">
        <v>34</v>
      </c>
      <c r="D47" s="1">
        <v>1</v>
      </c>
      <c r="E47">
        <f>Компонети!$F$24</f>
        <v>9.1199999999999992</v>
      </c>
      <c r="F47">
        <f t="shared" si="0"/>
        <v>9.1199999999999992</v>
      </c>
    </row>
    <row r="48" spans="1:27" ht="15.75" customHeight="1" x14ac:dyDescent="0.2">
      <c r="C48" s="1" t="s">
        <v>404</v>
      </c>
      <c r="D48" s="1">
        <v>3</v>
      </c>
      <c r="E48">
        <f>Компонети!$F$32</f>
        <v>1226</v>
      </c>
      <c r="F48">
        <f t="shared" si="0"/>
        <v>3678</v>
      </c>
    </row>
    <row r="49" spans="1:27" ht="12.75" x14ac:dyDescent="0.2">
      <c r="C49" s="1">
        <v>62</v>
      </c>
      <c r="D49" s="1">
        <v>1</v>
      </c>
      <c r="E49">
        <f>Компонети!$F$34</f>
        <v>75</v>
      </c>
      <c r="F49">
        <f t="shared" si="0"/>
        <v>75</v>
      </c>
    </row>
    <row r="50" spans="1:27" ht="12.75" x14ac:dyDescent="0.2">
      <c r="C50" s="1" t="s">
        <v>50</v>
      </c>
      <c r="D50" s="1">
        <v>1</v>
      </c>
      <c r="E50">
        <f>Компонети!$F$38</f>
        <v>50</v>
      </c>
      <c r="F50">
        <f t="shared" si="0"/>
        <v>50</v>
      </c>
    </row>
    <row r="51" spans="1:27" ht="12.75" x14ac:dyDescent="0.2">
      <c r="C51" s="2" t="s">
        <v>58</v>
      </c>
      <c r="D51" s="1">
        <v>1</v>
      </c>
      <c r="E51">
        <f>Компонети!$F$42</f>
        <v>100</v>
      </c>
      <c r="F51">
        <f t="shared" si="0"/>
        <v>100</v>
      </c>
    </row>
    <row r="52" spans="1:27" ht="12.75" x14ac:dyDescent="0.2">
      <c r="C52" s="2" t="s">
        <v>64</v>
      </c>
      <c r="D52" s="1">
        <v>3</v>
      </c>
      <c r="E52">
        <f>Компонети!$F$45</f>
        <v>20</v>
      </c>
      <c r="F52">
        <f t="shared" si="0"/>
        <v>60</v>
      </c>
    </row>
    <row r="53" spans="1:27" ht="15" x14ac:dyDescent="0.25">
      <c r="A53" s="1"/>
      <c r="B53" s="1"/>
      <c r="C53" s="1"/>
      <c r="E53" s="19" t="s">
        <v>267</v>
      </c>
      <c r="F53" s="21">
        <f>SUM(F43:F52)</f>
        <v>5473.08</v>
      </c>
    </row>
    <row r="54" spans="1:27" ht="25.5" x14ac:dyDescent="0.2">
      <c r="A54" s="5" t="s">
        <v>46</v>
      </c>
      <c r="B54" s="5" t="s">
        <v>75</v>
      </c>
      <c r="C54" s="31" t="s">
        <v>76</v>
      </c>
      <c r="D54" s="6"/>
      <c r="E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2.75" x14ac:dyDescent="0.2">
      <c r="C55" s="1" t="s">
        <v>27</v>
      </c>
      <c r="D55" s="1">
        <v>1</v>
      </c>
      <c r="E55">
        <f>Компонети!$F$19</f>
        <v>318</v>
      </c>
      <c r="F55">
        <f t="shared" si="0"/>
        <v>318</v>
      </c>
    </row>
    <row r="56" spans="1:27" ht="12.75" x14ac:dyDescent="0.2">
      <c r="C56" s="1" t="s">
        <v>11</v>
      </c>
      <c r="D56" s="1">
        <v>1</v>
      </c>
      <c r="E56">
        <f>Компонети!$F$7</f>
        <v>1959.6</v>
      </c>
      <c r="F56">
        <f t="shared" si="0"/>
        <v>1959.6</v>
      </c>
    </row>
    <row r="57" spans="1:27" ht="12.75" x14ac:dyDescent="0.2">
      <c r="C57" s="1" t="s">
        <v>28</v>
      </c>
      <c r="D57" s="1">
        <v>1</v>
      </c>
      <c r="E57">
        <f>Компонети!$F$20</f>
        <v>180</v>
      </c>
      <c r="F57">
        <f t="shared" si="0"/>
        <v>180</v>
      </c>
    </row>
    <row r="58" spans="1:27" ht="12.75" x14ac:dyDescent="0.2">
      <c r="C58" s="1" t="s">
        <v>30</v>
      </c>
      <c r="D58" s="1">
        <v>1</v>
      </c>
      <c r="E58">
        <f>Компонети!$F$21</f>
        <v>44.4</v>
      </c>
      <c r="F58">
        <f t="shared" si="0"/>
        <v>44.4</v>
      </c>
    </row>
    <row r="59" spans="1:27" ht="12.75" x14ac:dyDescent="0.2">
      <c r="C59" s="1" t="s">
        <v>32</v>
      </c>
      <c r="D59" s="1">
        <v>2</v>
      </c>
      <c r="E59">
        <f>Компонети!$F$22</f>
        <v>9.1199999999999992</v>
      </c>
      <c r="F59">
        <f t="shared" si="0"/>
        <v>18.239999999999998</v>
      </c>
    </row>
    <row r="60" spans="1:27" ht="12.75" x14ac:dyDescent="0.2">
      <c r="C60" s="1" t="s">
        <v>38</v>
      </c>
      <c r="D60" s="1">
        <v>1</v>
      </c>
      <c r="E60">
        <f>Компонети!$F$26</f>
        <v>9.1199999999999992</v>
      </c>
      <c r="F60">
        <f t="shared" si="0"/>
        <v>9.1199999999999992</v>
      </c>
    </row>
    <row r="61" spans="1:27" ht="15.75" customHeight="1" x14ac:dyDescent="0.2">
      <c r="C61" s="1" t="s">
        <v>404</v>
      </c>
      <c r="D61" s="1">
        <v>2</v>
      </c>
      <c r="E61">
        <f>Компонети!$F$32</f>
        <v>1226</v>
      </c>
      <c r="F61">
        <f t="shared" si="0"/>
        <v>2452</v>
      </c>
    </row>
    <row r="62" spans="1:27" ht="12.75" x14ac:dyDescent="0.2">
      <c r="C62" s="1">
        <v>62</v>
      </c>
      <c r="D62" s="1">
        <v>1</v>
      </c>
      <c r="E62">
        <f>Компонети!$F$34</f>
        <v>75</v>
      </c>
      <c r="F62">
        <f t="shared" si="0"/>
        <v>75</v>
      </c>
    </row>
    <row r="63" spans="1:27" ht="12.75" x14ac:dyDescent="0.2">
      <c r="C63" s="1" t="s">
        <v>52</v>
      </c>
      <c r="D63" s="1">
        <v>1</v>
      </c>
      <c r="E63">
        <f>Компонети!$F$39</f>
        <v>75</v>
      </c>
      <c r="F63">
        <f t="shared" si="0"/>
        <v>75</v>
      </c>
    </row>
    <row r="64" spans="1:27" ht="12.75" x14ac:dyDescent="0.2">
      <c r="C64" s="2" t="s">
        <v>58</v>
      </c>
      <c r="D64" s="1">
        <v>1</v>
      </c>
      <c r="E64">
        <f>Компонети!$F$42</f>
        <v>100</v>
      </c>
      <c r="F64">
        <f t="shared" si="0"/>
        <v>100</v>
      </c>
    </row>
    <row r="65" spans="1:27" ht="12.75" x14ac:dyDescent="0.2">
      <c r="C65" s="2" t="s">
        <v>64</v>
      </c>
      <c r="D65" s="1">
        <v>2</v>
      </c>
      <c r="E65">
        <f>Компонети!$F$45</f>
        <v>20</v>
      </c>
      <c r="F65">
        <f t="shared" si="0"/>
        <v>40</v>
      </c>
    </row>
    <row r="66" spans="1:27" ht="15.75" customHeight="1" x14ac:dyDescent="0.25">
      <c r="E66" s="19" t="s">
        <v>267</v>
      </c>
      <c r="F66" s="21">
        <f>SUM(F55:F65)</f>
        <v>5271.36</v>
      </c>
    </row>
    <row r="67" spans="1:27" ht="25.5" x14ac:dyDescent="0.2">
      <c r="A67" s="5" t="s">
        <v>46</v>
      </c>
      <c r="B67" s="5" t="s">
        <v>77</v>
      </c>
      <c r="C67" s="31" t="s">
        <v>78</v>
      </c>
      <c r="D67" s="6"/>
      <c r="E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75" x14ac:dyDescent="0.2">
      <c r="C68" s="1" t="s">
        <v>27</v>
      </c>
      <c r="D68" s="1">
        <v>1</v>
      </c>
      <c r="E68">
        <f>Компонети!$F$19</f>
        <v>318</v>
      </c>
      <c r="F68">
        <f t="shared" ref="F68:F130" si="1">E68*D68</f>
        <v>318</v>
      </c>
    </row>
    <row r="69" spans="1:27" ht="12.75" x14ac:dyDescent="0.2">
      <c r="C69" s="1" t="s">
        <v>11</v>
      </c>
      <c r="D69" s="1">
        <v>1</v>
      </c>
      <c r="E69">
        <f>Компонети!$F$7</f>
        <v>1959.6</v>
      </c>
      <c r="F69">
        <f t="shared" si="1"/>
        <v>1959.6</v>
      </c>
    </row>
    <row r="70" spans="1:27" ht="12.75" x14ac:dyDescent="0.2">
      <c r="C70" s="1" t="s">
        <v>28</v>
      </c>
      <c r="D70" s="1">
        <v>1</v>
      </c>
      <c r="E70">
        <f>Компонети!$F$20</f>
        <v>180</v>
      </c>
      <c r="F70">
        <f t="shared" si="1"/>
        <v>180</v>
      </c>
    </row>
    <row r="71" spans="1:27" ht="12.75" x14ac:dyDescent="0.2">
      <c r="C71" s="1" t="s">
        <v>30</v>
      </c>
      <c r="D71" s="1">
        <v>1</v>
      </c>
      <c r="E71">
        <f>Компонети!$F$21</f>
        <v>44.4</v>
      </c>
      <c r="F71">
        <f t="shared" si="1"/>
        <v>44.4</v>
      </c>
    </row>
    <row r="72" spans="1:27" ht="12.75" x14ac:dyDescent="0.2">
      <c r="C72" s="1" t="s">
        <v>32</v>
      </c>
      <c r="D72" s="1">
        <v>3</v>
      </c>
      <c r="E72">
        <f>Компонети!$F$22</f>
        <v>9.1199999999999992</v>
      </c>
      <c r="F72">
        <f t="shared" si="1"/>
        <v>27.36</v>
      </c>
    </row>
    <row r="73" spans="1:27" ht="12.75" x14ac:dyDescent="0.2">
      <c r="C73" s="1" t="s">
        <v>38</v>
      </c>
      <c r="D73" s="1">
        <v>1</v>
      </c>
      <c r="E73">
        <f>Компонети!$F$26</f>
        <v>9.1199999999999992</v>
      </c>
      <c r="F73">
        <f t="shared" si="1"/>
        <v>9.1199999999999992</v>
      </c>
    </row>
    <row r="74" spans="1:27" ht="15.75" customHeight="1" x14ac:dyDescent="0.2">
      <c r="C74" s="1" t="s">
        <v>404</v>
      </c>
      <c r="D74" s="1">
        <v>3</v>
      </c>
      <c r="E74">
        <f>Компонети!$F$32</f>
        <v>1226</v>
      </c>
      <c r="F74">
        <f t="shared" si="1"/>
        <v>3678</v>
      </c>
    </row>
    <row r="75" spans="1:27" ht="12.75" x14ac:dyDescent="0.2">
      <c r="C75" s="1">
        <v>62</v>
      </c>
      <c r="D75" s="1">
        <v>1</v>
      </c>
      <c r="E75">
        <f>Компонети!$F$34</f>
        <v>75</v>
      </c>
      <c r="F75">
        <f t="shared" si="1"/>
        <v>75</v>
      </c>
    </row>
    <row r="76" spans="1:27" ht="12.75" x14ac:dyDescent="0.2">
      <c r="C76" s="1" t="s">
        <v>52</v>
      </c>
      <c r="D76" s="1">
        <v>1</v>
      </c>
      <c r="E76">
        <f>Компонети!$F$39</f>
        <v>75</v>
      </c>
      <c r="F76">
        <f t="shared" si="1"/>
        <v>75</v>
      </c>
    </row>
    <row r="77" spans="1:27" ht="12.75" x14ac:dyDescent="0.2">
      <c r="C77" s="2" t="s">
        <v>58</v>
      </c>
      <c r="D77" s="1">
        <v>1</v>
      </c>
      <c r="E77">
        <f>Компонети!$F$42</f>
        <v>100</v>
      </c>
      <c r="F77">
        <f t="shared" si="1"/>
        <v>100</v>
      </c>
    </row>
    <row r="78" spans="1:27" ht="12.75" x14ac:dyDescent="0.2">
      <c r="C78" s="2" t="s">
        <v>64</v>
      </c>
      <c r="D78" s="1">
        <v>3</v>
      </c>
      <c r="E78">
        <f>Компонети!$F$45</f>
        <v>20</v>
      </c>
      <c r="F78">
        <f t="shared" si="1"/>
        <v>60</v>
      </c>
    </row>
    <row r="79" spans="1:27" ht="15.75" customHeight="1" x14ac:dyDescent="0.25">
      <c r="E79" s="19" t="s">
        <v>267</v>
      </c>
      <c r="F79" s="21">
        <f>SUM(F68:F78)</f>
        <v>6526.48</v>
      </c>
    </row>
    <row r="80" spans="1:27" ht="25.5" x14ac:dyDescent="0.2">
      <c r="A80" s="5" t="s">
        <v>46</v>
      </c>
      <c r="B80" s="5" t="s">
        <v>79</v>
      </c>
      <c r="C80" s="31" t="s">
        <v>80</v>
      </c>
      <c r="D80" s="6"/>
      <c r="E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.75" x14ac:dyDescent="0.2">
      <c r="C81" s="1" t="s">
        <v>27</v>
      </c>
      <c r="D81" s="1">
        <v>1</v>
      </c>
      <c r="E81">
        <f>Компонети!$F$19</f>
        <v>318</v>
      </c>
      <c r="F81">
        <f t="shared" si="1"/>
        <v>318</v>
      </c>
    </row>
    <row r="82" spans="1:27" ht="12.75" x14ac:dyDescent="0.2">
      <c r="C82" s="1" t="s">
        <v>13</v>
      </c>
      <c r="D82" s="1">
        <v>1</v>
      </c>
      <c r="E82">
        <f>Компонети!$F$8</f>
        <v>2223.6</v>
      </c>
      <c r="F82">
        <f t="shared" si="1"/>
        <v>2223.6</v>
      </c>
    </row>
    <row r="83" spans="1:27" ht="12.75" x14ac:dyDescent="0.2">
      <c r="C83" s="1" t="s">
        <v>28</v>
      </c>
      <c r="D83" s="1">
        <v>1</v>
      </c>
      <c r="E83">
        <f>Компонети!$F$20</f>
        <v>180</v>
      </c>
      <c r="F83">
        <f t="shared" si="1"/>
        <v>180</v>
      </c>
    </row>
    <row r="84" spans="1:27" ht="12.75" x14ac:dyDescent="0.2">
      <c r="C84" s="1" t="s">
        <v>30</v>
      </c>
      <c r="D84" s="1">
        <v>2</v>
      </c>
      <c r="E84">
        <f>Компонети!$F$21</f>
        <v>44.4</v>
      </c>
      <c r="F84">
        <f t="shared" si="1"/>
        <v>88.8</v>
      </c>
    </row>
    <row r="85" spans="1:27" ht="12.75" x14ac:dyDescent="0.2">
      <c r="C85" s="1" t="s">
        <v>32</v>
      </c>
      <c r="D85" s="1">
        <v>3</v>
      </c>
      <c r="E85">
        <f>Компонети!$F$22</f>
        <v>9.1199999999999992</v>
      </c>
      <c r="F85">
        <f t="shared" si="1"/>
        <v>27.36</v>
      </c>
    </row>
    <row r="86" spans="1:27" ht="12.75" x14ac:dyDescent="0.2">
      <c r="C86" s="1" t="s">
        <v>40</v>
      </c>
      <c r="D86" s="1">
        <v>1</v>
      </c>
      <c r="E86">
        <f>Компонети!$F$27</f>
        <v>9.1199999999999992</v>
      </c>
      <c r="F86">
        <f t="shared" si="1"/>
        <v>9.1199999999999992</v>
      </c>
    </row>
    <row r="87" spans="1:27" ht="15.75" customHeight="1" x14ac:dyDescent="0.2">
      <c r="C87" s="1" t="s">
        <v>404</v>
      </c>
      <c r="D87" s="1">
        <v>3</v>
      </c>
      <c r="E87">
        <f>Компонети!$F$32</f>
        <v>1226</v>
      </c>
      <c r="F87">
        <f t="shared" si="1"/>
        <v>3678</v>
      </c>
    </row>
    <row r="88" spans="1:27" ht="12.75" x14ac:dyDescent="0.2">
      <c r="C88" s="1">
        <v>62</v>
      </c>
      <c r="D88" s="1">
        <v>1</v>
      </c>
      <c r="E88">
        <f>Компонети!$F$34</f>
        <v>75</v>
      </c>
      <c r="F88">
        <f t="shared" si="1"/>
        <v>75</v>
      </c>
    </row>
    <row r="89" spans="1:27" ht="12.75" x14ac:dyDescent="0.2">
      <c r="C89" s="1" t="s">
        <v>52</v>
      </c>
      <c r="D89" s="1">
        <v>1</v>
      </c>
      <c r="E89">
        <f>Компонети!$F$39</f>
        <v>75</v>
      </c>
      <c r="F89">
        <f t="shared" si="1"/>
        <v>75</v>
      </c>
    </row>
    <row r="90" spans="1:27" ht="12.75" x14ac:dyDescent="0.2">
      <c r="C90" s="2" t="s">
        <v>58</v>
      </c>
      <c r="D90" s="1">
        <v>1</v>
      </c>
      <c r="E90">
        <f>Компонети!$F$42</f>
        <v>100</v>
      </c>
      <c r="F90">
        <f t="shared" si="1"/>
        <v>100</v>
      </c>
    </row>
    <row r="91" spans="1:27" ht="12.75" x14ac:dyDescent="0.2">
      <c r="C91" s="2" t="s">
        <v>64</v>
      </c>
      <c r="D91" s="1">
        <v>3</v>
      </c>
      <c r="E91">
        <f>Компонети!$F$45</f>
        <v>20</v>
      </c>
      <c r="F91">
        <f t="shared" si="1"/>
        <v>60</v>
      </c>
    </row>
    <row r="92" spans="1:27" ht="15.75" customHeight="1" x14ac:dyDescent="0.25">
      <c r="E92" s="19" t="s">
        <v>267</v>
      </c>
      <c r="F92" s="21">
        <f>SUM(F81:F91)</f>
        <v>6834.88</v>
      </c>
    </row>
    <row r="93" spans="1:27" ht="25.5" x14ac:dyDescent="0.2">
      <c r="A93" s="5" t="s">
        <v>46</v>
      </c>
      <c r="B93" s="5" t="s">
        <v>81</v>
      </c>
      <c r="C93" s="31" t="s">
        <v>82</v>
      </c>
      <c r="D93" s="6"/>
      <c r="E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.75" x14ac:dyDescent="0.2">
      <c r="C94" s="1" t="s">
        <v>27</v>
      </c>
      <c r="D94" s="1">
        <v>1</v>
      </c>
      <c r="E94">
        <f>Компонети!$F$19</f>
        <v>318</v>
      </c>
      <c r="F94">
        <f t="shared" si="1"/>
        <v>318</v>
      </c>
    </row>
    <row r="95" spans="1:27" ht="12.75" x14ac:dyDescent="0.2">
      <c r="C95" s="1" t="s">
        <v>13</v>
      </c>
      <c r="D95" s="1">
        <v>1</v>
      </c>
      <c r="E95">
        <f>Компонети!$F$8</f>
        <v>2223.6</v>
      </c>
      <c r="F95">
        <f t="shared" si="1"/>
        <v>2223.6</v>
      </c>
    </row>
    <row r="96" spans="1:27" ht="12.75" x14ac:dyDescent="0.2">
      <c r="C96" s="1" t="s">
        <v>28</v>
      </c>
      <c r="D96" s="1">
        <v>2</v>
      </c>
      <c r="E96">
        <f>Компонети!$F$20</f>
        <v>180</v>
      </c>
      <c r="F96">
        <f t="shared" si="1"/>
        <v>360</v>
      </c>
    </row>
    <row r="97" spans="1:27" ht="12.75" x14ac:dyDescent="0.2">
      <c r="C97" s="1" t="s">
        <v>30</v>
      </c>
      <c r="D97" s="1">
        <v>2</v>
      </c>
      <c r="E97">
        <f>Компонети!$F$21</f>
        <v>44.4</v>
      </c>
      <c r="F97">
        <f t="shared" si="1"/>
        <v>88.8</v>
      </c>
    </row>
    <row r="98" spans="1:27" ht="12.75" x14ac:dyDescent="0.2">
      <c r="C98" s="1" t="s">
        <v>32</v>
      </c>
      <c r="D98" s="1">
        <v>4</v>
      </c>
      <c r="E98">
        <f>Компонети!$F$22</f>
        <v>9.1199999999999992</v>
      </c>
      <c r="F98">
        <f t="shared" si="1"/>
        <v>36.479999999999997</v>
      </c>
    </row>
    <row r="99" spans="1:27" ht="12.75" x14ac:dyDescent="0.2">
      <c r="C99" s="1" t="s">
        <v>40</v>
      </c>
      <c r="D99" s="1">
        <v>1</v>
      </c>
      <c r="E99">
        <f>Компонети!$F$27</f>
        <v>9.1199999999999992</v>
      </c>
      <c r="F99">
        <f t="shared" si="1"/>
        <v>9.1199999999999992</v>
      </c>
    </row>
    <row r="100" spans="1:27" ht="15.75" customHeight="1" x14ac:dyDescent="0.2">
      <c r="C100" s="1" t="s">
        <v>404</v>
      </c>
      <c r="D100" s="1">
        <v>4</v>
      </c>
      <c r="E100">
        <f>Компонети!$F$32</f>
        <v>1226</v>
      </c>
      <c r="F100">
        <f t="shared" si="1"/>
        <v>4904</v>
      </c>
    </row>
    <row r="101" spans="1:27" ht="12.75" x14ac:dyDescent="0.2">
      <c r="C101" s="1">
        <v>62</v>
      </c>
      <c r="D101" s="1">
        <v>1</v>
      </c>
      <c r="E101">
        <f>Компонети!$F$34</f>
        <v>75</v>
      </c>
      <c r="F101">
        <f t="shared" si="1"/>
        <v>75</v>
      </c>
    </row>
    <row r="102" spans="1:27" ht="12.75" x14ac:dyDescent="0.2">
      <c r="C102" s="1" t="s">
        <v>52</v>
      </c>
      <c r="D102" s="1">
        <v>1</v>
      </c>
      <c r="E102">
        <f>Компонети!$F$39</f>
        <v>75</v>
      </c>
      <c r="F102">
        <f t="shared" si="1"/>
        <v>75</v>
      </c>
    </row>
    <row r="103" spans="1:27" ht="12.75" x14ac:dyDescent="0.2">
      <c r="C103" s="1" t="s">
        <v>60</v>
      </c>
      <c r="D103" s="1">
        <v>1</v>
      </c>
      <c r="E103">
        <f>Компонети!$F$43</f>
        <v>120</v>
      </c>
      <c r="F103">
        <f t="shared" si="1"/>
        <v>120</v>
      </c>
    </row>
    <row r="104" spans="1:27" ht="12.75" x14ac:dyDescent="0.2">
      <c r="C104" s="2" t="s">
        <v>64</v>
      </c>
      <c r="D104" s="1">
        <v>4</v>
      </c>
      <c r="E104">
        <f>Компонети!$F$45</f>
        <v>20</v>
      </c>
      <c r="F104">
        <f t="shared" si="1"/>
        <v>80</v>
      </c>
    </row>
    <row r="105" spans="1:27" ht="15.75" customHeight="1" x14ac:dyDescent="0.25">
      <c r="E105" s="19" t="s">
        <v>267</v>
      </c>
      <c r="F105" s="21">
        <f>SUM(F94:F104)</f>
        <v>8290</v>
      </c>
    </row>
    <row r="106" spans="1:27" ht="25.5" x14ac:dyDescent="0.2">
      <c r="A106" s="5" t="s">
        <v>46</v>
      </c>
      <c r="B106" s="5" t="s">
        <v>83</v>
      </c>
      <c r="C106" s="31" t="s">
        <v>84</v>
      </c>
      <c r="D106" s="6"/>
      <c r="E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.75" x14ac:dyDescent="0.2">
      <c r="C107" s="1" t="s">
        <v>27</v>
      </c>
      <c r="D107" s="1">
        <v>1</v>
      </c>
      <c r="E107">
        <f>Компонети!$F$19</f>
        <v>318</v>
      </c>
      <c r="F107">
        <f t="shared" si="1"/>
        <v>318</v>
      </c>
    </row>
    <row r="108" spans="1:27" ht="12.75" x14ac:dyDescent="0.2">
      <c r="C108" s="1" t="s">
        <v>15</v>
      </c>
      <c r="D108" s="1">
        <v>1</v>
      </c>
      <c r="E108">
        <f>Компонети!$F$9</f>
        <v>3102</v>
      </c>
      <c r="F108">
        <f t="shared" si="1"/>
        <v>3102</v>
      </c>
    </row>
    <row r="109" spans="1:27" ht="12.75" x14ac:dyDescent="0.2">
      <c r="C109" s="1" t="s">
        <v>28</v>
      </c>
      <c r="D109" s="1">
        <v>2</v>
      </c>
      <c r="E109">
        <f>Компонети!$F$20</f>
        <v>180</v>
      </c>
      <c r="F109">
        <f t="shared" si="1"/>
        <v>360</v>
      </c>
    </row>
    <row r="110" spans="1:27" ht="12.75" x14ac:dyDescent="0.2">
      <c r="C110" s="1" t="s">
        <v>30</v>
      </c>
      <c r="D110" s="1">
        <v>2</v>
      </c>
      <c r="E110">
        <f>Компонети!$F$21</f>
        <v>44.4</v>
      </c>
      <c r="F110">
        <f t="shared" si="1"/>
        <v>88.8</v>
      </c>
    </row>
    <row r="111" spans="1:27" ht="12.75" x14ac:dyDescent="0.2">
      <c r="C111" s="1" t="s">
        <v>32</v>
      </c>
      <c r="D111" s="1">
        <v>4</v>
      </c>
      <c r="E111">
        <f>Компонети!$F$22</f>
        <v>9.1199999999999992</v>
      </c>
      <c r="F111">
        <f t="shared" si="1"/>
        <v>36.479999999999997</v>
      </c>
    </row>
    <row r="112" spans="1:27" ht="12.75" x14ac:dyDescent="0.2">
      <c r="C112" s="1" t="s">
        <v>38</v>
      </c>
      <c r="D112" s="1">
        <v>2</v>
      </c>
      <c r="E112">
        <f>Компонети!$F$26</f>
        <v>9.1199999999999992</v>
      </c>
      <c r="F112">
        <f t="shared" si="1"/>
        <v>18.239999999999998</v>
      </c>
    </row>
    <row r="113" spans="1:27" ht="15.75" customHeight="1" x14ac:dyDescent="0.2">
      <c r="C113" s="1" t="s">
        <v>404</v>
      </c>
      <c r="D113" s="1">
        <v>4</v>
      </c>
      <c r="E113">
        <f>Компонети!$F$32</f>
        <v>1226</v>
      </c>
      <c r="F113">
        <f t="shared" si="1"/>
        <v>4904</v>
      </c>
    </row>
    <row r="114" spans="1:27" ht="12.75" x14ac:dyDescent="0.2">
      <c r="C114" s="1">
        <v>62</v>
      </c>
      <c r="D114" s="1">
        <v>1</v>
      </c>
      <c r="E114">
        <f>Компонети!$F$34</f>
        <v>75</v>
      </c>
      <c r="F114">
        <f t="shared" si="1"/>
        <v>75</v>
      </c>
    </row>
    <row r="115" spans="1:27" ht="12.75" x14ac:dyDescent="0.2">
      <c r="C115" s="1" t="s">
        <v>52</v>
      </c>
      <c r="D115" s="1">
        <v>1</v>
      </c>
      <c r="E115">
        <f>Компонети!$F$39</f>
        <v>75</v>
      </c>
      <c r="F115">
        <f t="shared" si="1"/>
        <v>75</v>
      </c>
    </row>
    <row r="116" spans="1:27" ht="12.75" x14ac:dyDescent="0.2">
      <c r="C116" s="1" t="s">
        <v>60</v>
      </c>
      <c r="D116" s="1">
        <v>1</v>
      </c>
      <c r="E116">
        <f>Компонети!$F$43</f>
        <v>120</v>
      </c>
      <c r="F116">
        <f t="shared" si="1"/>
        <v>120</v>
      </c>
    </row>
    <row r="117" spans="1:27" ht="12.75" x14ac:dyDescent="0.2">
      <c r="C117" s="2" t="s">
        <v>64</v>
      </c>
      <c r="D117" s="1">
        <v>4</v>
      </c>
      <c r="E117">
        <f>Компонети!$F$45</f>
        <v>20</v>
      </c>
      <c r="F117">
        <f t="shared" si="1"/>
        <v>80</v>
      </c>
    </row>
    <row r="118" spans="1:27" ht="15.75" customHeight="1" x14ac:dyDescent="0.25">
      <c r="E118" s="19" t="s">
        <v>267</v>
      </c>
      <c r="F118" s="21">
        <f>SUM(F107:F117)</f>
        <v>9177.52</v>
      </c>
    </row>
    <row r="119" spans="1:27" ht="25.5" x14ac:dyDescent="0.2">
      <c r="A119" s="5" t="s">
        <v>46</v>
      </c>
      <c r="B119" s="5" t="s">
        <v>85</v>
      </c>
      <c r="C119" s="31" t="s">
        <v>86</v>
      </c>
      <c r="D119" s="6"/>
      <c r="E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75" x14ac:dyDescent="0.2">
      <c r="C120" s="1" t="s">
        <v>27</v>
      </c>
      <c r="D120" s="1">
        <v>1</v>
      </c>
      <c r="E120">
        <f>Компонети!$F$19</f>
        <v>318</v>
      </c>
      <c r="F120">
        <f t="shared" si="1"/>
        <v>318</v>
      </c>
    </row>
    <row r="121" spans="1:27" ht="12.75" x14ac:dyDescent="0.2">
      <c r="C121" s="1" t="s">
        <v>15</v>
      </c>
      <c r="D121" s="1">
        <v>1</v>
      </c>
      <c r="E121">
        <f>Компонети!$F$9</f>
        <v>3102</v>
      </c>
      <c r="F121">
        <f t="shared" si="1"/>
        <v>3102</v>
      </c>
    </row>
    <row r="122" spans="1:27" ht="12.75" x14ac:dyDescent="0.2">
      <c r="C122" s="1" t="s">
        <v>28</v>
      </c>
      <c r="D122" s="1">
        <v>2</v>
      </c>
      <c r="E122">
        <f>Компонети!$F$20</f>
        <v>180</v>
      </c>
      <c r="F122">
        <f t="shared" si="1"/>
        <v>360</v>
      </c>
    </row>
    <row r="123" spans="1:27" ht="12.75" x14ac:dyDescent="0.2">
      <c r="C123" s="1" t="s">
        <v>30</v>
      </c>
      <c r="D123" s="1">
        <v>2</v>
      </c>
      <c r="E123">
        <f>Компонети!$F$21</f>
        <v>44.4</v>
      </c>
      <c r="F123">
        <f t="shared" si="1"/>
        <v>88.8</v>
      </c>
    </row>
    <row r="124" spans="1:27" ht="12.75" x14ac:dyDescent="0.2">
      <c r="C124" s="1" t="s">
        <v>32</v>
      </c>
      <c r="D124" s="1">
        <v>5</v>
      </c>
      <c r="E124">
        <f>Компонети!$F$22</f>
        <v>9.1199999999999992</v>
      </c>
      <c r="F124">
        <f t="shared" si="1"/>
        <v>45.599999999999994</v>
      </c>
    </row>
    <row r="125" spans="1:27" ht="12.75" x14ac:dyDescent="0.2">
      <c r="C125" s="1" t="s">
        <v>38</v>
      </c>
      <c r="D125" s="1">
        <v>2</v>
      </c>
      <c r="E125">
        <f>Компонети!$F$26</f>
        <v>9.1199999999999992</v>
      </c>
      <c r="F125">
        <f t="shared" si="1"/>
        <v>18.239999999999998</v>
      </c>
    </row>
    <row r="126" spans="1:27" ht="15.75" customHeight="1" x14ac:dyDescent="0.2">
      <c r="C126" s="1" t="s">
        <v>404</v>
      </c>
      <c r="D126" s="1">
        <v>5</v>
      </c>
      <c r="E126">
        <f>Компонети!$F$32</f>
        <v>1226</v>
      </c>
      <c r="F126">
        <f t="shared" si="1"/>
        <v>6130</v>
      </c>
    </row>
    <row r="127" spans="1:27" ht="12.75" x14ac:dyDescent="0.2">
      <c r="C127" s="1">
        <v>62</v>
      </c>
      <c r="D127" s="1">
        <v>1</v>
      </c>
      <c r="E127">
        <f>Компонети!$F$34</f>
        <v>75</v>
      </c>
      <c r="F127">
        <f t="shared" si="1"/>
        <v>75</v>
      </c>
    </row>
    <row r="128" spans="1:27" ht="12.75" x14ac:dyDescent="0.2">
      <c r="C128" s="1" t="s">
        <v>52</v>
      </c>
      <c r="D128" s="1">
        <v>1</v>
      </c>
      <c r="E128">
        <f>Компонети!$F$39</f>
        <v>75</v>
      </c>
      <c r="F128">
        <f t="shared" si="1"/>
        <v>75</v>
      </c>
    </row>
    <row r="129" spans="1:27" ht="12.75" x14ac:dyDescent="0.2">
      <c r="C129" s="1" t="s">
        <v>62</v>
      </c>
      <c r="D129" s="1">
        <v>1</v>
      </c>
      <c r="E129">
        <f>Компонети!$F$44</f>
        <v>125</v>
      </c>
      <c r="F129">
        <f t="shared" si="1"/>
        <v>125</v>
      </c>
    </row>
    <row r="130" spans="1:27" ht="12.75" x14ac:dyDescent="0.2">
      <c r="C130" s="2" t="s">
        <v>64</v>
      </c>
      <c r="D130" s="1">
        <v>5</v>
      </c>
      <c r="E130">
        <f>Компонети!$F$45</f>
        <v>20</v>
      </c>
      <c r="F130">
        <f t="shared" si="1"/>
        <v>100</v>
      </c>
    </row>
    <row r="131" spans="1:27" ht="15.75" customHeight="1" x14ac:dyDescent="0.25">
      <c r="E131" s="19" t="s">
        <v>267</v>
      </c>
      <c r="F131" s="21">
        <f>SUM(F120:F130)</f>
        <v>10437.64</v>
      </c>
    </row>
    <row r="132" spans="1:27" ht="25.5" x14ac:dyDescent="0.2">
      <c r="A132" s="5" t="s">
        <v>46</v>
      </c>
      <c r="B132" s="5" t="s">
        <v>87</v>
      </c>
      <c r="C132" s="31" t="s">
        <v>88</v>
      </c>
      <c r="D132" s="6"/>
      <c r="E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x14ac:dyDescent="0.2">
      <c r="C133" s="1" t="s">
        <v>27</v>
      </c>
      <c r="D133" s="1">
        <v>1</v>
      </c>
      <c r="E133">
        <f>Компонети!$F$19</f>
        <v>318</v>
      </c>
      <c r="F133">
        <f t="shared" ref="F133:F143" si="2">E133*D133</f>
        <v>318</v>
      </c>
    </row>
    <row r="134" spans="1:27" ht="12.75" x14ac:dyDescent="0.2">
      <c r="C134" s="1" t="s">
        <v>15</v>
      </c>
      <c r="D134" s="1">
        <v>1</v>
      </c>
      <c r="E134">
        <f>Компонети!$F$9</f>
        <v>3102</v>
      </c>
      <c r="F134">
        <f t="shared" si="2"/>
        <v>3102</v>
      </c>
    </row>
    <row r="135" spans="1:27" ht="12.75" x14ac:dyDescent="0.2">
      <c r="C135" s="1" t="s">
        <v>28</v>
      </c>
      <c r="D135" s="1">
        <v>2</v>
      </c>
      <c r="E135">
        <f>Компонети!$F$20</f>
        <v>180</v>
      </c>
      <c r="F135">
        <f t="shared" si="2"/>
        <v>360</v>
      </c>
    </row>
    <row r="136" spans="1:27" ht="12.75" x14ac:dyDescent="0.2">
      <c r="C136" s="1" t="s">
        <v>30</v>
      </c>
      <c r="D136" s="1">
        <v>2</v>
      </c>
      <c r="E136">
        <f>Компонети!$F$21</f>
        <v>44.4</v>
      </c>
      <c r="F136">
        <f t="shared" si="2"/>
        <v>88.8</v>
      </c>
    </row>
    <row r="137" spans="1:27" ht="12.75" x14ac:dyDescent="0.2">
      <c r="C137" s="1" t="s">
        <v>32</v>
      </c>
      <c r="D137" s="1">
        <v>6</v>
      </c>
      <c r="E137">
        <f>Компонети!$F$22</f>
        <v>9.1199999999999992</v>
      </c>
      <c r="F137">
        <f t="shared" si="2"/>
        <v>54.72</v>
      </c>
    </row>
    <row r="138" spans="1:27" ht="12.75" x14ac:dyDescent="0.2">
      <c r="C138" s="1" t="s">
        <v>38</v>
      </c>
      <c r="D138" s="1">
        <v>2</v>
      </c>
      <c r="E138">
        <f>Компонети!$F$26</f>
        <v>9.1199999999999992</v>
      </c>
      <c r="F138">
        <f t="shared" si="2"/>
        <v>18.239999999999998</v>
      </c>
    </row>
    <row r="139" spans="1:27" ht="15.75" customHeight="1" x14ac:dyDescent="0.2">
      <c r="C139" s="1" t="s">
        <v>404</v>
      </c>
      <c r="D139" s="1">
        <v>6</v>
      </c>
      <c r="E139">
        <f>Компонети!$F$32</f>
        <v>1226</v>
      </c>
      <c r="F139">
        <f t="shared" si="2"/>
        <v>7356</v>
      </c>
    </row>
    <row r="140" spans="1:27" ht="12.75" x14ac:dyDescent="0.2">
      <c r="C140" s="1">
        <v>62</v>
      </c>
      <c r="D140" s="1">
        <v>1</v>
      </c>
      <c r="E140">
        <f>Компонети!$F$34</f>
        <v>75</v>
      </c>
      <c r="F140">
        <f t="shared" si="2"/>
        <v>75</v>
      </c>
    </row>
    <row r="141" spans="1:27" ht="12.75" x14ac:dyDescent="0.2">
      <c r="C141" s="1" t="s">
        <v>52</v>
      </c>
      <c r="D141" s="1">
        <v>1</v>
      </c>
      <c r="E141">
        <f>Компонети!$F$39</f>
        <v>75</v>
      </c>
      <c r="F141">
        <f t="shared" si="2"/>
        <v>75</v>
      </c>
    </row>
    <row r="142" spans="1:27" ht="12.75" x14ac:dyDescent="0.2">
      <c r="C142" s="1" t="s">
        <v>62</v>
      </c>
      <c r="D142" s="1">
        <v>1</v>
      </c>
      <c r="E142">
        <f>Компонети!$F$44</f>
        <v>125</v>
      </c>
      <c r="F142">
        <f t="shared" si="2"/>
        <v>125</v>
      </c>
    </row>
    <row r="143" spans="1:27" ht="12.75" x14ac:dyDescent="0.2">
      <c r="C143" s="2" t="s">
        <v>64</v>
      </c>
      <c r="D143" s="1">
        <v>6</v>
      </c>
      <c r="E143">
        <f>Компонети!$F$45</f>
        <v>20</v>
      </c>
      <c r="F143">
        <f t="shared" si="2"/>
        <v>120</v>
      </c>
    </row>
    <row r="144" spans="1:27" ht="19.5" customHeight="1" x14ac:dyDescent="0.25">
      <c r="C144" s="2"/>
      <c r="D144" s="1"/>
      <c r="E144" s="19" t="s">
        <v>267</v>
      </c>
      <c r="F144" s="21">
        <f>SUM(F133:F143)</f>
        <v>11692.76</v>
      </c>
    </row>
    <row r="145" spans="1:27" ht="40.5" customHeight="1" x14ac:dyDescent="0.2">
      <c r="A145" s="43" t="s">
        <v>89</v>
      </c>
      <c r="B145" s="43"/>
      <c r="C145" s="43"/>
      <c r="D145" s="43"/>
      <c r="E145" s="43"/>
      <c r="F145" s="43"/>
      <c r="G145" s="43"/>
      <c r="H145" s="43"/>
    </row>
    <row r="146" spans="1:27" ht="25.5" x14ac:dyDescent="0.2">
      <c r="A146" s="5" t="s">
        <v>46</v>
      </c>
      <c r="B146" s="5" t="s">
        <v>90</v>
      </c>
      <c r="C146" s="31" t="s">
        <v>91</v>
      </c>
      <c r="D146" s="6" t="s">
        <v>265</v>
      </c>
      <c r="E146" s="6" t="s">
        <v>264</v>
      </c>
      <c r="F146" s="6" t="s">
        <v>266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x14ac:dyDescent="0.2">
      <c r="C147" s="1" t="s">
        <v>27</v>
      </c>
      <c r="D147" s="1">
        <v>1</v>
      </c>
      <c r="E147">
        <f>Компонети!$F$19</f>
        <v>318</v>
      </c>
      <c r="F147">
        <f>E147*D147</f>
        <v>318</v>
      </c>
    </row>
    <row r="148" spans="1:27" ht="12.75" x14ac:dyDescent="0.2">
      <c r="C148" s="1" t="s">
        <v>2</v>
      </c>
      <c r="D148" s="1">
        <v>3</v>
      </c>
      <c r="E148">
        <f>Компонети!$F$3</f>
        <v>748.8</v>
      </c>
      <c r="F148">
        <f t="shared" ref="F148:F209" si="3">E148*D148</f>
        <v>2246.3999999999996</v>
      </c>
    </row>
    <row r="149" spans="1:27" ht="12.75" x14ac:dyDescent="0.2">
      <c r="C149" s="1" t="s">
        <v>28</v>
      </c>
      <c r="D149" s="1">
        <v>2</v>
      </c>
      <c r="E149">
        <f>Компонети!$F$20</f>
        <v>180</v>
      </c>
      <c r="F149">
        <f t="shared" si="3"/>
        <v>360</v>
      </c>
    </row>
    <row r="150" spans="1:27" ht="12.75" x14ac:dyDescent="0.2">
      <c r="C150" s="1" t="s">
        <v>30</v>
      </c>
      <c r="D150" s="1">
        <v>3</v>
      </c>
      <c r="E150">
        <f>Компонети!$F$21</f>
        <v>44.4</v>
      </c>
      <c r="F150">
        <f t="shared" si="3"/>
        <v>133.19999999999999</v>
      </c>
    </row>
    <row r="151" spans="1:27" ht="12.75" x14ac:dyDescent="0.2">
      <c r="C151" s="1" t="s">
        <v>32</v>
      </c>
      <c r="D151" s="1">
        <v>2</v>
      </c>
      <c r="E151">
        <f>Компонети!$F$22</f>
        <v>9.1199999999999992</v>
      </c>
      <c r="F151">
        <f t="shared" si="3"/>
        <v>18.239999999999998</v>
      </c>
    </row>
    <row r="152" spans="1:27" ht="12.75" x14ac:dyDescent="0.2">
      <c r="C152" s="1" t="s">
        <v>92</v>
      </c>
      <c r="D152" s="1">
        <v>3</v>
      </c>
      <c r="E152">
        <f>Компонети!$F$23</f>
        <v>9.1199999999999992</v>
      </c>
      <c r="F152">
        <f t="shared" si="3"/>
        <v>27.36</v>
      </c>
    </row>
    <row r="153" spans="1:27" ht="15.75" customHeight="1" x14ac:dyDescent="0.2">
      <c r="C153" s="1" t="s">
        <v>404</v>
      </c>
      <c r="D153" s="1">
        <v>2</v>
      </c>
      <c r="E153">
        <f>Компонети!$F$32</f>
        <v>1226</v>
      </c>
      <c r="F153">
        <f t="shared" si="3"/>
        <v>2452</v>
      </c>
    </row>
    <row r="154" spans="1:27" ht="12.75" x14ac:dyDescent="0.2">
      <c r="C154" s="1">
        <v>66</v>
      </c>
      <c r="D154" s="1">
        <v>1</v>
      </c>
      <c r="E154">
        <f>Компонети!$F$36</f>
        <v>200</v>
      </c>
      <c r="F154">
        <f t="shared" si="3"/>
        <v>200</v>
      </c>
    </row>
    <row r="155" spans="1:27" ht="12.75" x14ac:dyDescent="0.2">
      <c r="C155" s="1" t="s">
        <v>54</v>
      </c>
      <c r="D155" s="1">
        <v>1</v>
      </c>
      <c r="E155">
        <f>Компонети!$F$40</f>
        <v>150</v>
      </c>
      <c r="F155">
        <f t="shared" si="3"/>
        <v>150</v>
      </c>
    </row>
    <row r="156" spans="1:27" ht="12.75" x14ac:dyDescent="0.2">
      <c r="C156" s="2" t="s">
        <v>58</v>
      </c>
      <c r="D156" s="1">
        <v>1</v>
      </c>
      <c r="E156">
        <f>Компонети!$F$42</f>
        <v>100</v>
      </c>
      <c r="F156">
        <f t="shared" si="3"/>
        <v>100</v>
      </c>
    </row>
    <row r="157" spans="1:27" ht="12.75" x14ac:dyDescent="0.2">
      <c r="C157" s="2" t="s">
        <v>64</v>
      </c>
      <c r="D157" s="1">
        <v>2</v>
      </c>
      <c r="E157">
        <f>Компонети!$F$45</f>
        <v>20</v>
      </c>
      <c r="F157">
        <f t="shared" si="3"/>
        <v>40</v>
      </c>
    </row>
    <row r="158" spans="1:27" ht="15.75" customHeight="1" x14ac:dyDescent="0.25">
      <c r="E158" s="19" t="s">
        <v>267</v>
      </c>
      <c r="F158" s="21">
        <f>SUM(F147:F157)</f>
        <v>6045.1999999999989</v>
      </c>
    </row>
    <row r="159" spans="1:27" ht="25.5" x14ac:dyDescent="0.2">
      <c r="A159" s="5" t="s">
        <v>46</v>
      </c>
      <c r="B159" s="5" t="s">
        <v>93</v>
      </c>
      <c r="C159" s="31" t="s">
        <v>94</v>
      </c>
      <c r="D159" s="6"/>
    </row>
    <row r="160" spans="1:27" ht="12.75" x14ac:dyDescent="0.2">
      <c r="C160" s="1" t="s">
        <v>27</v>
      </c>
      <c r="D160" s="1">
        <v>1</v>
      </c>
      <c r="E160">
        <f>Компонети!$F$19</f>
        <v>318</v>
      </c>
      <c r="F160">
        <f t="shared" si="3"/>
        <v>318</v>
      </c>
    </row>
    <row r="161" spans="1:6" ht="12.75" x14ac:dyDescent="0.2">
      <c r="C161" s="1" t="s">
        <v>2</v>
      </c>
      <c r="D161" s="1">
        <v>3</v>
      </c>
      <c r="E161">
        <f>Компонети!$F$3</f>
        <v>748.8</v>
      </c>
      <c r="F161">
        <f t="shared" si="3"/>
        <v>2246.3999999999996</v>
      </c>
    </row>
    <row r="162" spans="1:6" ht="12.75" x14ac:dyDescent="0.2">
      <c r="C162" s="1" t="s">
        <v>28</v>
      </c>
      <c r="D162" s="1">
        <v>2</v>
      </c>
      <c r="E162">
        <f>Компонети!$F$20</f>
        <v>180</v>
      </c>
      <c r="F162">
        <f t="shared" si="3"/>
        <v>360</v>
      </c>
    </row>
    <row r="163" spans="1:6" ht="12.75" x14ac:dyDescent="0.2">
      <c r="C163" s="1" t="s">
        <v>30</v>
      </c>
      <c r="D163" s="1">
        <v>3</v>
      </c>
      <c r="E163">
        <f>Компонети!$F$21</f>
        <v>44.4</v>
      </c>
      <c r="F163">
        <f t="shared" si="3"/>
        <v>133.19999999999999</v>
      </c>
    </row>
    <row r="164" spans="1:6" ht="12.75" x14ac:dyDescent="0.2">
      <c r="C164" s="1" t="s">
        <v>32</v>
      </c>
      <c r="D164" s="1">
        <v>3</v>
      </c>
      <c r="E164">
        <f>Компонети!$F$22</f>
        <v>9.1199999999999992</v>
      </c>
      <c r="F164">
        <f t="shared" si="3"/>
        <v>27.36</v>
      </c>
    </row>
    <row r="165" spans="1:6" ht="12.75" x14ac:dyDescent="0.2">
      <c r="C165" s="1" t="s">
        <v>92</v>
      </c>
      <c r="D165" s="1">
        <v>3</v>
      </c>
      <c r="E165">
        <f>Компонети!$F$23</f>
        <v>9.1199999999999992</v>
      </c>
      <c r="F165">
        <f t="shared" si="3"/>
        <v>27.36</v>
      </c>
    </row>
    <row r="166" spans="1:6" ht="12.75" x14ac:dyDescent="0.2">
      <c r="C166" s="1" t="s">
        <v>404</v>
      </c>
      <c r="D166" s="1">
        <v>3</v>
      </c>
      <c r="E166">
        <f>Компонети!$F$32</f>
        <v>1226</v>
      </c>
      <c r="F166">
        <f t="shared" si="3"/>
        <v>3678</v>
      </c>
    </row>
    <row r="167" spans="1:6" ht="15.75" customHeight="1" x14ac:dyDescent="0.2">
      <c r="C167" s="1">
        <v>66</v>
      </c>
      <c r="D167" s="1">
        <v>1</v>
      </c>
      <c r="E167" s="30">
        <f>Компонети!$F$36</f>
        <v>200</v>
      </c>
      <c r="F167">
        <f t="shared" si="3"/>
        <v>200</v>
      </c>
    </row>
    <row r="168" spans="1:6" ht="12.75" x14ac:dyDescent="0.2">
      <c r="C168" s="1" t="s">
        <v>54</v>
      </c>
      <c r="D168" s="1">
        <v>1</v>
      </c>
      <c r="E168">
        <f>Компонети!$F$40</f>
        <v>150</v>
      </c>
      <c r="F168">
        <f t="shared" si="3"/>
        <v>150</v>
      </c>
    </row>
    <row r="169" spans="1:6" ht="12.75" x14ac:dyDescent="0.2">
      <c r="C169" s="2" t="s">
        <v>58</v>
      </c>
      <c r="D169" s="1">
        <v>1</v>
      </c>
      <c r="E169">
        <f>Компонети!$F$42</f>
        <v>100</v>
      </c>
      <c r="F169">
        <f t="shared" si="3"/>
        <v>100</v>
      </c>
    </row>
    <row r="170" spans="1:6" ht="12.75" x14ac:dyDescent="0.2">
      <c r="C170" s="2" t="s">
        <v>64</v>
      </c>
      <c r="D170" s="1">
        <v>3</v>
      </c>
      <c r="E170">
        <f>Компонети!$F$45</f>
        <v>20</v>
      </c>
      <c r="F170">
        <f t="shared" si="3"/>
        <v>60</v>
      </c>
    </row>
    <row r="171" spans="1:6" ht="15.75" customHeight="1" x14ac:dyDescent="0.25">
      <c r="E171" s="19" t="s">
        <v>267</v>
      </c>
      <c r="F171" s="21">
        <f>SUM(F160:F170)</f>
        <v>7300.32</v>
      </c>
    </row>
    <row r="172" spans="1:6" ht="25.5" x14ac:dyDescent="0.2">
      <c r="A172" s="5" t="s">
        <v>46</v>
      </c>
      <c r="B172" s="5" t="s">
        <v>95</v>
      </c>
      <c r="C172" s="31" t="s">
        <v>96</v>
      </c>
      <c r="D172" s="6"/>
    </row>
    <row r="173" spans="1:6" ht="12.75" x14ac:dyDescent="0.2">
      <c r="C173" s="1" t="s">
        <v>27</v>
      </c>
      <c r="D173" s="1">
        <v>1</v>
      </c>
      <c r="E173">
        <f>Компонети!$F$19</f>
        <v>318</v>
      </c>
      <c r="F173">
        <f t="shared" si="3"/>
        <v>318</v>
      </c>
    </row>
    <row r="174" spans="1:6" ht="12.75" x14ac:dyDescent="0.2">
      <c r="C174" s="1" t="s">
        <v>2</v>
      </c>
      <c r="D174" s="1">
        <v>3</v>
      </c>
      <c r="E174">
        <f>Компонети!$F$3</f>
        <v>748.8</v>
      </c>
      <c r="F174">
        <f t="shared" si="3"/>
        <v>2246.3999999999996</v>
      </c>
    </row>
    <row r="175" spans="1:6" ht="12.75" x14ac:dyDescent="0.2">
      <c r="C175" s="1" t="s">
        <v>28</v>
      </c>
      <c r="D175" s="1">
        <v>2</v>
      </c>
      <c r="E175">
        <f>Компонети!$F$20</f>
        <v>180</v>
      </c>
      <c r="F175">
        <f t="shared" si="3"/>
        <v>360</v>
      </c>
    </row>
    <row r="176" spans="1:6" ht="12.75" x14ac:dyDescent="0.2">
      <c r="C176" s="1" t="s">
        <v>30</v>
      </c>
      <c r="D176" s="1">
        <v>3</v>
      </c>
      <c r="E176">
        <f>Компонети!$F$21</f>
        <v>44.4</v>
      </c>
      <c r="F176">
        <f t="shared" si="3"/>
        <v>133.19999999999999</v>
      </c>
    </row>
    <row r="177" spans="1:6" ht="12.75" x14ac:dyDescent="0.2">
      <c r="C177" s="1" t="s">
        <v>32</v>
      </c>
      <c r="D177" s="1">
        <v>4</v>
      </c>
      <c r="E177">
        <f>Компонети!$F$22</f>
        <v>9.1199999999999992</v>
      </c>
      <c r="F177">
        <f t="shared" si="3"/>
        <v>36.479999999999997</v>
      </c>
    </row>
    <row r="178" spans="1:6" ht="12.75" x14ac:dyDescent="0.2">
      <c r="C178" s="1" t="s">
        <v>92</v>
      </c>
      <c r="D178" s="1">
        <v>3</v>
      </c>
      <c r="E178">
        <f>Компонети!$F$23</f>
        <v>9.1199999999999992</v>
      </c>
      <c r="F178">
        <f t="shared" si="3"/>
        <v>27.36</v>
      </c>
    </row>
    <row r="179" spans="1:6" ht="12.75" x14ac:dyDescent="0.2">
      <c r="C179" s="1" t="s">
        <v>404</v>
      </c>
      <c r="D179" s="1">
        <v>4</v>
      </c>
      <c r="E179">
        <f>Компонети!$F$32</f>
        <v>1226</v>
      </c>
      <c r="F179">
        <f t="shared" si="3"/>
        <v>4904</v>
      </c>
    </row>
    <row r="180" spans="1:6" ht="15.75" customHeight="1" x14ac:dyDescent="0.2">
      <c r="C180" s="1">
        <v>66</v>
      </c>
      <c r="D180" s="1">
        <v>1</v>
      </c>
      <c r="E180" s="30">
        <f>Компонети!$F$36</f>
        <v>200</v>
      </c>
      <c r="F180">
        <f t="shared" si="3"/>
        <v>200</v>
      </c>
    </row>
    <row r="181" spans="1:6" ht="12.75" x14ac:dyDescent="0.2">
      <c r="C181" s="1" t="s">
        <v>54</v>
      </c>
      <c r="D181" s="1">
        <v>1</v>
      </c>
      <c r="E181">
        <f>Компонети!$F$40</f>
        <v>150</v>
      </c>
      <c r="F181">
        <f t="shared" si="3"/>
        <v>150</v>
      </c>
    </row>
    <row r="182" spans="1:6" ht="12.75" x14ac:dyDescent="0.2">
      <c r="C182" s="1" t="s">
        <v>60</v>
      </c>
      <c r="D182" s="1">
        <v>1</v>
      </c>
      <c r="E182">
        <f>Компонети!$F$43</f>
        <v>120</v>
      </c>
      <c r="F182">
        <f t="shared" si="3"/>
        <v>120</v>
      </c>
    </row>
    <row r="183" spans="1:6" ht="12.75" x14ac:dyDescent="0.2">
      <c r="C183" s="2" t="s">
        <v>64</v>
      </c>
      <c r="D183" s="1">
        <v>4</v>
      </c>
      <c r="E183">
        <f>Компонети!$F$45</f>
        <v>20</v>
      </c>
      <c r="F183">
        <f t="shared" si="3"/>
        <v>80</v>
      </c>
    </row>
    <row r="184" spans="1:6" ht="15.75" customHeight="1" x14ac:dyDescent="0.25">
      <c r="E184" s="19" t="s">
        <v>267</v>
      </c>
      <c r="F184" s="21">
        <f>SUM(F173:F183)</f>
        <v>8575.4399999999987</v>
      </c>
    </row>
    <row r="185" spans="1:6" ht="25.5" x14ac:dyDescent="0.2">
      <c r="A185" s="5" t="s">
        <v>46</v>
      </c>
      <c r="B185" s="5" t="s">
        <v>97</v>
      </c>
      <c r="C185" s="31" t="s">
        <v>98</v>
      </c>
      <c r="D185" s="6"/>
    </row>
    <row r="186" spans="1:6" ht="12.75" x14ac:dyDescent="0.2">
      <c r="C186" s="1" t="s">
        <v>27</v>
      </c>
      <c r="D186" s="1">
        <v>1</v>
      </c>
      <c r="E186">
        <f>Компонети!$F$19</f>
        <v>318</v>
      </c>
      <c r="F186">
        <f t="shared" si="3"/>
        <v>318</v>
      </c>
    </row>
    <row r="187" spans="1:6" ht="12.75" x14ac:dyDescent="0.2">
      <c r="C187" s="2" t="str">
        <f>Компонети!C5</f>
        <v>PMP482505012</v>
      </c>
      <c r="D187" s="1">
        <v>3</v>
      </c>
      <c r="E187">
        <f>Компонети!$F$5</f>
        <v>1012.8</v>
      </c>
      <c r="F187">
        <f t="shared" si="3"/>
        <v>3038.3999999999996</v>
      </c>
    </row>
    <row r="188" spans="1:6" ht="12.75" x14ac:dyDescent="0.2">
      <c r="C188" s="1" t="s">
        <v>28</v>
      </c>
      <c r="D188" s="1">
        <v>2</v>
      </c>
      <c r="E188">
        <f>Компонети!$F$20</f>
        <v>180</v>
      </c>
      <c r="F188">
        <f t="shared" si="3"/>
        <v>360</v>
      </c>
    </row>
    <row r="189" spans="1:6" ht="12.75" x14ac:dyDescent="0.2">
      <c r="C189" s="1" t="s">
        <v>30</v>
      </c>
      <c r="D189" s="1">
        <v>3</v>
      </c>
      <c r="E189">
        <f>Компонети!$F$21</f>
        <v>44.4</v>
      </c>
      <c r="F189">
        <f t="shared" si="3"/>
        <v>133.19999999999999</v>
      </c>
    </row>
    <row r="190" spans="1:6" ht="12.75" x14ac:dyDescent="0.2">
      <c r="C190" s="1" t="s">
        <v>32</v>
      </c>
      <c r="D190" s="1">
        <v>3</v>
      </c>
      <c r="E190">
        <f>Компонети!$F$22</f>
        <v>9.1199999999999992</v>
      </c>
      <c r="F190">
        <f t="shared" si="3"/>
        <v>27.36</v>
      </c>
    </row>
    <row r="191" spans="1:6" ht="12.75" x14ac:dyDescent="0.2">
      <c r="C191" s="1" t="s">
        <v>34</v>
      </c>
      <c r="D191" s="1">
        <v>3</v>
      </c>
      <c r="E191">
        <f>Компонети!$F$24</f>
        <v>9.1199999999999992</v>
      </c>
      <c r="F191">
        <f t="shared" si="3"/>
        <v>27.36</v>
      </c>
    </row>
    <row r="192" spans="1:6" ht="12.75" x14ac:dyDescent="0.2">
      <c r="C192" s="1" t="s">
        <v>404</v>
      </c>
      <c r="D192" s="1">
        <v>3</v>
      </c>
      <c r="E192">
        <f>Компонети!$F$32</f>
        <v>1226</v>
      </c>
      <c r="F192">
        <f t="shared" si="3"/>
        <v>3678</v>
      </c>
    </row>
    <row r="193" spans="1:27" ht="15.75" customHeight="1" x14ac:dyDescent="0.2">
      <c r="C193" s="1">
        <v>66</v>
      </c>
      <c r="D193" s="1">
        <v>1</v>
      </c>
      <c r="E193" s="30">
        <f>Компонети!$F$36</f>
        <v>200</v>
      </c>
      <c r="F193">
        <f t="shared" si="3"/>
        <v>200</v>
      </c>
    </row>
    <row r="194" spans="1:27" ht="12.75" x14ac:dyDescent="0.2">
      <c r="C194" s="1" t="s">
        <v>54</v>
      </c>
      <c r="D194" s="1">
        <v>1</v>
      </c>
      <c r="E194">
        <f>Компонети!$F$40</f>
        <v>150</v>
      </c>
      <c r="F194">
        <f t="shared" si="3"/>
        <v>150</v>
      </c>
    </row>
    <row r="195" spans="1:27" ht="12.75" x14ac:dyDescent="0.2">
      <c r="C195" s="1" t="s">
        <v>58</v>
      </c>
      <c r="D195" s="1">
        <v>1</v>
      </c>
      <c r="E195">
        <f>Компонети!$F$42</f>
        <v>100</v>
      </c>
      <c r="F195">
        <f t="shared" si="3"/>
        <v>100</v>
      </c>
    </row>
    <row r="196" spans="1:27" ht="12.75" x14ac:dyDescent="0.2">
      <c r="C196" s="2" t="s">
        <v>64</v>
      </c>
      <c r="D196" s="1">
        <v>3</v>
      </c>
      <c r="E196">
        <f>Компонети!$F$45</f>
        <v>20</v>
      </c>
      <c r="F196">
        <f t="shared" si="3"/>
        <v>60</v>
      </c>
    </row>
    <row r="197" spans="1:27" ht="15.75" customHeight="1" x14ac:dyDescent="0.25">
      <c r="E197" s="19" t="s">
        <v>267</v>
      </c>
      <c r="F197" s="21">
        <f>SUM(F186:F196)</f>
        <v>8092.32</v>
      </c>
    </row>
    <row r="198" spans="1:27" ht="25.5" x14ac:dyDescent="0.2">
      <c r="A198" s="5" t="s">
        <v>46</v>
      </c>
      <c r="B198" s="5" t="s">
        <v>99</v>
      </c>
      <c r="C198" s="31" t="s">
        <v>100</v>
      </c>
      <c r="D198" s="6"/>
      <c r="E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x14ac:dyDescent="0.2">
      <c r="C199" s="1" t="s">
        <v>27</v>
      </c>
      <c r="D199" s="1">
        <v>1</v>
      </c>
      <c r="E199">
        <f>Компонети!$F$19</f>
        <v>318</v>
      </c>
      <c r="F199">
        <f t="shared" si="3"/>
        <v>318</v>
      </c>
    </row>
    <row r="200" spans="1:27" ht="12.75" x14ac:dyDescent="0.2">
      <c r="C200" s="2" t="s">
        <v>7</v>
      </c>
      <c r="D200" s="1">
        <v>3</v>
      </c>
      <c r="E200">
        <f>Компонети!$F$5</f>
        <v>1012.8</v>
      </c>
      <c r="F200">
        <f t="shared" si="3"/>
        <v>3038.3999999999996</v>
      </c>
    </row>
    <row r="201" spans="1:27" ht="12.75" x14ac:dyDescent="0.2">
      <c r="C201" s="1" t="s">
        <v>28</v>
      </c>
      <c r="D201" s="1">
        <v>2</v>
      </c>
      <c r="E201">
        <f>Компонети!$F$20</f>
        <v>180</v>
      </c>
      <c r="F201">
        <f t="shared" si="3"/>
        <v>360</v>
      </c>
    </row>
    <row r="202" spans="1:27" ht="12.75" x14ac:dyDescent="0.2">
      <c r="C202" s="1" t="s">
        <v>30</v>
      </c>
      <c r="D202" s="1">
        <v>3</v>
      </c>
      <c r="E202">
        <f>Компонети!$F$21</f>
        <v>44.4</v>
      </c>
      <c r="F202">
        <f t="shared" si="3"/>
        <v>133.19999999999999</v>
      </c>
    </row>
    <row r="203" spans="1:27" ht="12.75" x14ac:dyDescent="0.2">
      <c r="C203" s="1" t="s">
        <v>32</v>
      </c>
      <c r="D203" s="1">
        <v>4</v>
      </c>
      <c r="E203">
        <f>Компонети!$F$22</f>
        <v>9.1199999999999992</v>
      </c>
      <c r="F203">
        <f t="shared" si="3"/>
        <v>36.479999999999997</v>
      </c>
    </row>
    <row r="204" spans="1:27" ht="12.75" x14ac:dyDescent="0.2">
      <c r="C204" s="1" t="s">
        <v>34</v>
      </c>
      <c r="D204" s="1">
        <v>3</v>
      </c>
      <c r="E204">
        <f>Компонети!$F$24</f>
        <v>9.1199999999999992</v>
      </c>
      <c r="F204">
        <f t="shared" si="3"/>
        <v>27.36</v>
      </c>
    </row>
    <row r="205" spans="1:27" ht="12.75" x14ac:dyDescent="0.2">
      <c r="C205" s="1" t="s">
        <v>404</v>
      </c>
      <c r="D205" s="1">
        <v>4</v>
      </c>
      <c r="E205">
        <f>Компонети!$F$32</f>
        <v>1226</v>
      </c>
      <c r="F205">
        <f t="shared" si="3"/>
        <v>4904</v>
      </c>
    </row>
    <row r="206" spans="1:27" ht="15.75" customHeight="1" x14ac:dyDescent="0.2">
      <c r="C206" s="1">
        <v>66</v>
      </c>
      <c r="D206" s="1">
        <v>1</v>
      </c>
      <c r="E206" s="30">
        <f>Компонети!$F$36</f>
        <v>200</v>
      </c>
      <c r="F206">
        <f t="shared" si="3"/>
        <v>200</v>
      </c>
    </row>
    <row r="207" spans="1:27" ht="12.75" x14ac:dyDescent="0.2">
      <c r="C207" s="1" t="s">
        <v>54</v>
      </c>
      <c r="D207" s="1">
        <v>1</v>
      </c>
      <c r="E207">
        <f>Компонети!$F$40</f>
        <v>150</v>
      </c>
      <c r="F207">
        <f t="shared" si="3"/>
        <v>150</v>
      </c>
    </row>
    <row r="208" spans="1:27" ht="12.75" x14ac:dyDescent="0.2">
      <c r="C208" s="1" t="s">
        <v>60</v>
      </c>
      <c r="D208" s="1">
        <v>1</v>
      </c>
      <c r="E208">
        <f>Компонети!$F$43</f>
        <v>120</v>
      </c>
      <c r="F208">
        <f t="shared" si="3"/>
        <v>120</v>
      </c>
    </row>
    <row r="209" spans="1:27" ht="12.75" x14ac:dyDescent="0.2">
      <c r="C209" s="2" t="s">
        <v>64</v>
      </c>
      <c r="D209" s="1">
        <v>4</v>
      </c>
      <c r="E209">
        <f>Компонети!$F$45</f>
        <v>20</v>
      </c>
      <c r="F209">
        <f t="shared" si="3"/>
        <v>80</v>
      </c>
    </row>
    <row r="210" spans="1:27" ht="15.75" customHeight="1" x14ac:dyDescent="0.25">
      <c r="E210" s="19" t="s">
        <v>267</v>
      </c>
      <c r="F210" s="21">
        <f>SUM(F199:F209)</f>
        <v>9367.4399999999987</v>
      </c>
    </row>
    <row r="211" spans="1:27" ht="25.5" x14ac:dyDescent="0.2">
      <c r="A211" s="5" t="s">
        <v>46</v>
      </c>
      <c r="B211" s="5" t="s">
        <v>101</v>
      </c>
      <c r="C211" s="31" t="s">
        <v>102</v>
      </c>
      <c r="D211" s="6"/>
      <c r="E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x14ac:dyDescent="0.2">
      <c r="C212" s="1" t="s">
        <v>27</v>
      </c>
      <c r="D212" s="1">
        <v>1</v>
      </c>
      <c r="E212">
        <f>Компонети!$F$19</f>
        <v>318</v>
      </c>
      <c r="F212">
        <f t="shared" ref="F212:F274" si="4">E212*D212</f>
        <v>318</v>
      </c>
    </row>
    <row r="213" spans="1:27" ht="12.75" x14ac:dyDescent="0.2">
      <c r="C213" s="2" t="s">
        <v>7</v>
      </c>
      <c r="D213" s="1">
        <v>3</v>
      </c>
      <c r="E213">
        <f>Компонети!$F$5</f>
        <v>1012.8</v>
      </c>
      <c r="F213">
        <f t="shared" si="4"/>
        <v>3038.3999999999996</v>
      </c>
    </row>
    <row r="214" spans="1:27" ht="12.75" x14ac:dyDescent="0.2">
      <c r="C214" s="1" t="s">
        <v>28</v>
      </c>
      <c r="D214" s="1">
        <v>2</v>
      </c>
      <c r="E214">
        <f>Компонети!$F$20</f>
        <v>180</v>
      </c>
      <c r="F214">
        <f t="shared" si="4"/>
        <v>360</v>
      </c>
    </row>
    <row r="215" spans="1:27" ht="12.75" x14ac:dyDescent="0.2">
      <c r="C215" s="1" t="s">
        <v>30</v>
      </c>
      <c r="D215" s="1">
        <v>3</v>
      </c>
      <c r="E215">
        <f>Компонети!$F$21</f>
        <v>44.4</v>
      </c>
      <c r="F215">
        <f t="shared" si="4"/>
        <v>133.19999999999999</v>
      </c>
    </row>
    <row r="216" spans="1:27" ht="12.75" x14ac:dyDescent="0.2">
      <c r="C216" s="1" t="s">
        <v>32</v>
      </c>
      <c r="D216" s="1">
        <v>5</v>
      </c>
      <c r="E216">
        <f>Компонети!$F$22</f>
        <v>9.1199999999999992</v>
      </c>
      <c r="F216">
        <f t="shared" si="4"/>
        <v>45.599999999999994</v>
      </c>
    </row>
    <row r="217" spans="1:27" ht="12.75" x14ac:dyDescent="0.2">
      <c r="C217" s="1" t="s">
        <v>34</v>
      </c>
      <c r="D217" s="1">
        <v>3</v>
      </c>
      <c r="E217">
        <f>Компонети!$F$24</f>
        <v>9.1199999999999992</v>
      </c>
      <c r="F217">
        <f t="shared" si="4"/>
        <v>27.36</v>
      </c>
    </row>
    <row r="218" spans="1:27" ht="12.75" x14ac:dyDescent="0.2">
      <c r="C218" s="1" t="s">
        <v>404</v>
      </c>
      <c r="D218" s="1">
        <v>5</v>
      </c>
      <c r="E218">
        <f>Компонети!$F$32</f>
        <v>1226</v>
      </c>
      <c r="F218">
        <f t="shared" si="4"/>
        <v>6130</v>
      </c>
    </row>
    <row r="219" spans="1:27" ht="15.75" customHeight="1" x14ac:dyDescent="0.2">
      <c r="C219" s="1">
        <v>66</v>
      </c>
      <c r="D219" s="1">
        <v>1</v>
      </c>
      <c r="E219" s="30">
        <f>Компонети!$F$36</f>
        <v>200</v>
      </c>
      <c r="F219">
        <f t="shared" si="4"/>
        <v>200</v>
      </c>
    </row>
    <row r="220" spans="1:27" ht="12.75" x14ac:dyDescent="0.2">
      <c r="C220" s="1" t="s">
        <v>54</v>
      </c>
      <c r="D220" s="1">
        <v>1</v>
      </c>
      <c r="E220">
        <f>Компонети!$F$40</f>
        <v>150</v>
      </c>
      <c r="F220">
        <f t="shared" si="4"/>
        <v>150</v>
      </c>
    </row>
    <row r="221" spans="1:27" ht="12.75" x14ac:dyDescent="0.2">
      <c r="C221" s="1" t="s">
        <v>62</v>
      </c>
      <c r="D221" s="1">
        <v>1</v>
      </c>
      <c r="E221">
        <f>Компонети!$F$44</f>
        <v>125</v>
      </c>
      <c r="F221">
        <f t="shared" si="4"/>
        <v>125</v>
      </c>
    </row>
    <row r="222" spans="1:27" ht="12.75" x14ac:dyDescent="0.2">
      <c r="C222" s="2" t="s">
        <v>64</v>
      </c>
      <c r="D222" s="1">
        <v>5</v>
      </c>
      <c r="E222">
        <f>Компонети!$F$45</f>
        <v>20</v>
      </c>
      <c r="F222">
        <f t="shared" si="4"/>
        <v>100</v>
      </c>
    </row>
    <row r="223" spans="1:27" ht="15.75" customHeight="1" x14ac:dyDescent="0.25">
      <c r="E223" s="19" t="s">
        <v>267</v>
      </c>
      <c r="F223" s="21">
        <f>SUM(F212:F222)</f>
        <v>10627.56</v>
      </c>
    </row>
    <row r="224" spans="1:27" ht="25.5" x14ac:dyDescent="0.2">
      <c r="A224" s="5" t="s">
        <v>46</v>
      </c>
      <c r="B224" s="5" t="s">
        <v>103</v>
      </c>
      <c r="C224" s="31" t="s">
        <v>104</v>
      </c>
      <c r="D224" s="6"/>
      <c r="E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C225" s="1" t="s">
        <v>27</v>
      </c>
      <c r="D225" s="1">
        <v>1</v>
      </c>
      <c r="E225">
        <f>Компонети!$F$19</f>
        <v>318</v>
      </c>
      <c r="F225">
        <f t="shared" si="4"/>
        <v>318</v>
      </c>
    </row>
    <row r="226" spans="1:27" ht="12.75" x14ac:dyDescent="0.2">
      <c r="C226" s="2" t="str">
        <f>Компонети!C7</f>
        <v>PMP482805000</v>
      </c>
      <c r="D226" s="1">
        <v>3</v>
      </c>
      <c r="E226">
        <f>Компонети!$F$7</f>
        <v>1959.6</v>
      </c>
      <c r="F226">
        <f t="shared" si="4"/>
        <v>5878.7999999999993</v>
      </c>
    </row>
    <row r="227" spans="1:27" ht="12.75" x14ac:dyDescent="0.2">
      <c r="C227" s="1" t="s">
        <v>28</v>
      </c>
      <c r="D227" s="1">
        <v>2</v>
      </c>
      <c r="E227">
        <f>Компонети!$F$20</f>
        <v>180</v>
      </c>
      <c r="F227">
        <f t="shared" si="4"/>
        <v>360</v>
      </c>
    </row>
    <row r="228" spans="1:27" ht="12.75" x14ac:dyDescent="0.2">
      <c r="C228" s="1" t="s">
        <v>30</v>
      </c>
      <c r="D228" s="1">
        <v>3</v>
      </c>
      <c r="E228">
        <f>Компонети!$F$21</f>
        <v>44.4</v>
      </c>
      <c r="F228">
        <f t="shared" si="4"/>
        <v>133.19999999999999</v>
      </c>
    </row>
    <row r="229" spans="1:27" ht="12.75" x14ac:dyDescent="0.2">
      <c r="C229" s="1" t="s">
        <v>32</v>
      </c>
      <c r="D229" s="1">
        <v>5</v>
      </c>
      <c r="E229">
        <f>Компонети!$F$22</f>
        <v>9.1199999999999992</v>
      </c>
      <c r="F229">
        <f t="shared" si="4"/>
        <v>45.599999999999994</v>
      </c>
    </row>
    <row r="230" spans="1:27" ht="12.75" x14ac:dyDescent="0.2">
      <c r="C230" s="1" t="str">
        <f>Компонети!C26</f>
        <v>CIP138300020</v>
      </c>
      <c r="D230" s="1">
        <v>3</v>
      </c>
      <c r="E230">
        <f>Компонети!$F$26</f>
        <v>9.1199999999999992</v>
      </c>
      <c r="F230">
        <f t="shared" si="4"/>
        <v>27.36</v>
      </c>
    </row>
    <row r="231" spans="1:27" ht="12.75" x14ac:dyDescent="0.2">
      <c r="C231" s="1" t="s">
        <v>404</v>
      </c>
      <c r="D231" s="1">
        <v>5</v>
      </c>
      <c r="E231">
        <f>Компонети!$F$32</f>
        <v>1226</v>
      </c>
      <c r="F231">
        <f t="shared" si="4"/>
        <v>6130</v>
      </c>
    </row>
    <row r="232" spans="1:27" ht="15.75" customHeight="1" x14ac:dyDescent="0.2">
      <c r="C232" s="1">
        <v>66</v>
      </c>
      <c r="D232" s="1">
        <v>1</v>
      </c>
      <c r="E232" s="30">
        <f>Компонети!$F$36</f>
        <v>200</v>
      </c>
      <c r="F232">
        <f t="shared" si="4"/>
        <v>200</v>
      </c>
    </row>
    <row r="233" spans="1:27" ht="12.75" x14ac:dyDescent="0.2">
      <c r="C233" s="1" t="s">
        <v>56</v>
      </c>
      <c r="D233" s="1">
        <v>1</v>
      </c>
      <c r="E233">
        <f>Компонети!$F$41</f>
        <v>250</v>
      </c>
      <c r="F233">
        <f t="shared" si="4"/>
        <v>250</v>
      </c>
    </row>
    <row r="234" spans="1:27" ht="12.75" x14ac:dyDescent="0.2">
      <c r="C234" s="1" t="s">
        <v>62</v>
      </c>
      <c r="D234" s="1">
        <v>1</v>
      </c>
      <c r="E234">
        <f>Компонети!$F$44</f>
        <v>125</v>
      </c>
      <c r="F234">
        <f t="shared" si="4"/>
        <v>125</v>
      </c>
    </row>
    <row r="235" spans="1:27" ht="12.75" x14ac:dyDescent="0.2">
      <c r="C235" s="2" t="s">
        <v>64</v>
      </c>
      <c r="D235" s="1">
        <v>5</v>
      </c>
      <c r="E235">
        <f>Компонети!$F$45</f>
        <v>20</v>
      </c>
      <c r="F235">
        <f t="shared" si="4"/>
        <v>100</v>
      </c>
    </row>
    <row r="236" spans="1:27" ht="15.75" customHeight="1" x14ac:dyDescent="0.25">
      <c r="E236" s="19" t="s">
        <v>267</v>
      </c>
      <c r="F236" s="21">
        <f>SUM(F225:F235)</f>
        <v>13567.96</v>
      </c>
    </row>
    <row r="237" spans="1:27" ht="25.5" x14ac:dyDescent="0.2">
      <c r="A237" s="5" t="s">
        <v>46</v>
      </c>
      <c r="B237" s="5" t="s">
        <v>105</v>
      </c>
      <c r="C237" s="31" t="s">
        <v>106</v>
      </c>
      <c r="D237" s="6"/>
      <c r="E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C238" s="1" t="s">
        <v>27</v>
      </c>
      <c r="D238" s="1">
        <v>1</v>
      </c>
      <c r="E238">
        <f>Компонети!$F$19</f>
        <v>318</v>
      </c>
      <c r="F238">
        <f t="shared" si="4"/>
        <v>318</v>
      </c>
    </row>
    <row r="239" spans="1:27" ht="12.75" x14ac:dyDescent="0.2">
      <c r="C239" s="1" t="str">
        <f>Компонети!C7</f>
        <v>PMP482805000</v>
      </c>
      <c r="D239" s="1">
        <v>3</v>
      </c>
      <c r="E239">
        <f>Компонети!$F$7</f>
        <v>1959.6</v>
      </c>
      <c r="F239">
        <f t="shared" si="4"/>
        <v>5878.7999999999993</v>
      </c>
    </row>
    <row r="240" spans="1:27" ht="12.75" x14ac:dyDescent="0.2">
      <c r="C240" s="1" t="s">
        <v>28</v>
      </c>
      <c r="D240" s="1">
        <v>3</v>
      </c>
      <c r="E240">
        <f>Компонети!$F$20</f>
        <v>180</v>
      </c>
      <c r="F240">
        <f t="shared" si="4"/>
        <v>540</v>
      </c>
    </row>
    <row r="241" spans="1:27" ht="12.75" x14ac:dyDescent="0.2">
      <c r="C241" s="1" t="s">
        <v>30</v>
      </c>
      <c r="D241" s="1">
        <v>3</v>
      </c>
      <c r="E241">
        <f>Компонети!$F$21</f>
        <v>44.4</v>
      </c>
      <c r="F241">
        <f t="shared" si="4"/>
        <v>133.19999999999999</v>
      </c>
    </row>
    <row r="242" spans="1:27" ht="12.75" x14ac:dyDescent="0.2">
      <c r="C242" s="1" t="s">
        <v>32</v>
      </c>
      <c r="D242" s="1">
        <v>6</v>
      </c>
      <c r="E242">
        <f>Компонети!$F$22</f>
        <v>9.1199999999999992</v>
      </c>
      <c r="F242">
        <f t="shared" si="4"/>
        <v>54.72</v>
      </c>
    </row>
    <row r="243" spans="1:27" ht="12.75" x14ac:dyDescent="0.2">
      <c r="C243" s="1" t="str">
        <f>Компонети!C26</f>
        <v>CIP138300020</v>
      </c>
      <c r="D243" s="1">
        <v>3</v>
      </c>
      <c r="E243">
        <f>Компонети!$F$26</f>
        <v>9.1199999999999992</v>
      </c>
      <c r="F243">
        <f t="shared" si="4"/>
        <v>27.36</v>
      </c>
    </row>
    <row r="244" spans="1:27" ht="12.75" x14ac:dyDescent="0.2">
      <c r="C244" s="1" t="s">
        <v>404</v>
      </c>
      <c r="D244" s="1">
        <v>6</v>
      </c>
      <c r="E244">
        <f>Компонети!$F$32</f>
        <v>1226</v>
      </c>
      <c r="F244">
        <f t="shared" si="4"/>
        <v>7356</v>
      </c>
    </row>
    <row r="245" spans="1:27" ht="15.75" customHeight="1" x14ac:dyDescent="0.2">
      <c r="C245" s="1">
        <v>66</v>
      </c>
      <c r="D245" s="1">
        <v>1</v>
      </c>
      <c r="E245" s="30">
        <f>Компонети!$F$36</f>
        <v>200</v>
      </c>
      <c r="F245">
        <f t="shared" si="4"/>
        <v>200</v>
      </c>
    </row>
    <row r="246" spans="1:27" ht="12.75" x14ac:dyDescent="0.2">
      <c r="C246" s="1" t="s">
        <v>56</v>
      </c>
      <c r="D246" s="1">
        <v>1</v>
      </c>
      <c r="E246">
        <f>Компонети!$F$41</f>
        <v>250</v>
      </c>
      <c r="F246">
        <f t="shared" si="4"/>
        <v>250</v>
      </c>
    </row>
    <row r="247" spans="1:27" ht="12.75" x14ac:dyDescent="0.2">
      <c r="C247" s="1" t="s">
        <v>62</v>
      </c>
      <c r="D247" s="1">
        <v>1</v>
      </c>
      <c r="E247">
        <f>Компонети!$F$44</f>
        <v>125</v>
      </c>
      <c r="F247">
        <f t="shared" si="4"/>
        <v>125</v>
      </c>
    </row>
    <row r="248" spans="1:27" ht="12.75" x14ac:dyDescent="0.2">
      <c r="C248" s="2" t="s">
        <v>64</v>
      </c>
      <c r="D248" s="1">
        <v>6</v>
      </c>
      <c r="E248">
        <f>Компонети!$F$45</f>
        <v>20</v>
      </c>
      <c r="F248">
        <f t="shared" si="4"/>
        <v>120</v>
      </c>
    </row>
    <row r="249" spans="1:27" ht="15.75" customHeight="1" x14ac:dyDescent="0.25">
      <c r="E249" s="19" t="s">
        <v>267</v>
      </c>
      <c r="F249" s="21">
        <f>SUM(F238:F248)</f>
        <v>15003.079999999998</v>
      </c>
    </row>
    <row r="250" spans="1:27" ht="25.5" x14ac:dyDescent="0.2">
      <c r="A250" s="5" t="s">
        <v>46</v>
      </c>
      <c r="B250" s="5" t="s">
        <v>107</v>
      </c>
      <c r="C250" s="31" t="s">
        <v>108</v>
      </c>
      <c r="D250" s="6"/>
      <c r="E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C251" s="1" t="s">
        <v>27</v>
      </c>
      <c r="D251" s="1">
        <v>1</v>
      </c>
      <c r="E251">
        <f>Компонети!$F$19</f>
        <v>318</v>
      </c>
      <c r="F251">
        <f t="shared" si="4"/>
        <v>318</v>
      </c>
    </row>
    <row r="252" spans="1:27" ht="12.75" x14ac:dyDescent="0.2">
      <c r="C252" s="1" t="str">
        <f>Компонети!C7</f>
        <v>PMP482805000</v>
      </c>
      <c r="D252" s="1">
        <v>3</v>
      </c>
      <c r="E252">
        <f>Компонети!$F$7</f>
        <v>1959.6</v>
      </c>
      <c r="F252">
        <f t="shared" si="4"/>
        <v>5878.7999999999993</v>
      </c>
    </row>
    <row r="253" spans="1:27" ht="12.75" x14ac:dyDescent="0.2">
      <c r="C253" s="1" t="s">
        <v>28</v>
      </c>
      <c r="D253" s="1">
        <v>3</v>
      </c>
      <c r="E253">
        <f>Компонети!$F$20</f>
        <v>180</v>
      </c>
      <c r="F253">
        <f t="shared" si="4"/>
        <v>540</v>
      </c>
    </row>
    <row r="254" spans="1:27" ht="12.75" x14ac:dyDescent="0.2">
      <c r="C254" s="1" t="s">
        <v>30</v>
      </c>
      <c r="D254" s="1">
        <v>3</v>
      </c>
      <c r="E254">
        <f>Компонети!$F$21</f>
        <v>44.4</v>
      </c>
      <c r="F254">
        <f t="shared" si="4"/>
        <v>133.19999999999999</v>
      </c>
    </row>
    <row r="255" spans="1:27" ht="12.75" x14ac:dyDescent="0.2">
      <c r="C255" s="1" t="s">
        <v>32</v>
      </c>
      <c r="D255" s="1">
        <v>8</v>
      </c>
      <c r="E255">
        <f>Компонети!$F$22</f>
        <v>9.1199999999999992</v>
      </c>
      <c r="F255">
        <f t="shared" si="4"/>
        <v>72.959999999999994</v>
      </c>
    </row>
    <row r="256" spans="1:27" ht="12.75" x14ac:dyDescent="0.2">
      <c r="C256" s="1" t="str">
        <f>Компонети!C26</f>
        <v>CIP138300020</v>
      </c>
      <c r="D256" s="1">
        <v>3</v>
      </c>
      <c r="E256">
        <f>Компонети!$F$26</f>
        <v>9.1199999999999992</v>
      </c>
      <c r="F256">
        <f t="shared" si="4"/>
        <v>27.36</v>
      </c>
    </row>
    <row r="257" spans="1:27" ht="12.75" x14ac:dyDescent="0.2">
      <c r="C257" s="1" t="s">
        <v>404</v>
      </c>
      <c r="D257" s="1">
        <v>8</v>
      </c>
      <c r="E257">
        <f>Компонети!$F$32</f>
        <v>1226</v>
      </c>
      <c r="F257">
        <f t="shared" si="4"/>
        <v>9808</v>
      </c>
    </row>
    <row r="258" spans="1:27" ht="15.75" customHeight="1" x14ac:dyDescent="0.2">
      <c r="C258" s="1">
        <v>66</v>
      </c>
      <c r="D258" s="1">
        <v>1</v>
      </c>
      <c r="E258" s="30">
        <f>Компонети!$F$36</f>
        <v>200</v>
      </c>
      <c r="F258">
        <f t="shared" si="4"/>
        <v>200</v>
      </c>
    </row>
    <row r="259" spans="1:27" ht="12.75" x14ac:dyDescent="0.2">
      <c r="C259" s="1" t="s">
        <v>56</v>
      </c>
      <c r="D259" s="1">
        <v>1</v>
      </c>
      <c r="E259">
        <f>Компонети!$F$41</f>
        <v>250</v>
      </c>
      <c r="F259">
        <f t="shared" si="4"/>
        <v>250</v>
      </c>
    </row>
    <row r="260" spans="1:27" ht="12.75" x14ac:dyDescent="0.2">
      <c r="C260" s="1" t="s">
        <v>60</v>
      </c>
      <c r="D260" s="1">
        <v>2</v>
      </c>
      <c r="E260">
        <f>Компонети!$F$43</f>
        <v>120</v>
      </c>
      <c r="F260">
        <f t="shared" si="4"/>
        <v>240</v>
      </c>
    </row>
    <row r="261" spans="1:27" ht="12.75" x14ac:dyDescent="0.2">
      <c r="C261" s="2" t="s">
        <v>64</v>
      </c>
      <c r="D261" s="1">
        <v>8</v>
      </c>
      <c r="E261">
        <f>Компонети!$F$45</f>
        <v>20</v>
      </c>
      <c r="F261">
        <f t="shared" si="4"/>
        <v>160</v>
      </c>
    </row>
    <row r="262" spans="1:27" ht="15.75" customHeight="1" x14ac:dyDescent="0.25">
      <c r="E262" s="19" t="s">
        <v>267</v>
      </c>
      <c r="F262" s="21">
        <f>SUM(F251:F261)</f>
        <v>17628.32</v>
      </c>
    </row>
    <row r="263" spans="1:27" ht="25.5" x14ac:dyDescent="0.2">
      <c r="A263" s="5" t="s">
        <v>46</v>
      </c>
      <c r="B263" s="5" t="s">
        <v>109</v>
      </c>
      <c r="C263" s="31" t="s">
        <v>110</v>
      </c>
      <c r="D263" s="6"/>
      <c r="E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C264" s="1" t="s">
        <v>27</v>
      </c>
      <c r="D264" s="1">
        <v>1</v>
      </c>
      <c r="E264">
        <f>Компонети!$F$19</f>
        <v>318</v>
      </c>
      <c r="F264">
        <f t="shared" si="4"/>
        <v>318</v>
      </c>
    </row>
    <row r="265" spans="1:27" ht="12.75" x14ac:dyDescent="0.2">
      <c r="C265" s="1" t="str">
        <f>Компонети!C7</f>
        <v>PMP482805000</v>
      </c>
      <c r="D265" s="1">
        <v>3</v>
      </c>
      <c r="E265">
        <f>Компонети!$F$7</f>
        <v>1959.6</v>
      </c>
      <c r="F265">
        <f t="shared" si="4"/>
        <v>5878.7999999999993</v>
      </c>
    </row>
    <row r="266" spans="1:27" ht="12.75" x14ac:dyDescent="0.2">
      <c r="C266" s="1" t="s">
        <v>28</v>
      </c>
      <c r="D266" s="1">
        <v>3</v>
      </c>
      <c r="E266">
        <f>Компонети!$F$20</f>
        <v>180</v>
      </c>
      <c r="F266">
        <f t="shared" si="4"/>
        <v>540</v>
      </c>
    </row>
    <row r="267" spans="1:27" ht="12.75" x14ac:dyDescent="0.2">
      <c r="C267" s="1" t="s">
        <v>30</v>
      </c>
      <c r="D267" s="1">
        <v>3</v>
      </c>
      <c r="E267">
        <f>Компонети!$F$21</f>
        <v>44.4</v>
      </c>
      <c r="F267">
        <f t="shared" si="4"/>
        <v>133.19999999999999</v>
      </c>
    </row>
    <row r="268" spans="1:27" ht="12.75" x14ac:dyDescent="0.2">
      <c r="C268" s="1" t="s">
        <v>32</v>
      </c>
      <c r="D268" s="1">
        <v>10</v>
      </c>
      <c r="E268">
        <f>Компонети!$F$22</f>
        <v>9.1199999999999992</v>
      </c>
      <c r="F268">
        <f t="shared" si="4"/>
        <v>91.199999999999989</v>
      </c>
    </row>
    <row r="269" spans="1:27" ht="12.75" x14ac:dyDescent="0.2">
      <c r="C269" s="1" t="str">
        <f>Компонети!C26</f>
        <v>CIP138300020</v>
      </c>
      <c r="D269" s="1">
        <v>3</v>
      </c>
      <c r="E269">
        <f>Компонети!$F$26</f>
        <v>9.1199999999999992</v>
      </c>
      <c r="F269">
        <f t="shared" si="4"/>
        <v>27.36</v>
      </c>
    </row>
    <row r="270" spans="1:27" ht="12.75" x14ac:dyDescent="0.2">
      <c r="C270" s="1" t="s">
        <v>404</v>
      </c>
      <c r="D270" s="1">
        <v>10</v>
      </c>
      <c r="E270">
        <f>Компонети!$F$32</f>
        <v>1226</v>
      </c>
      <c r="F270">
        <f t="shared" si="4"/>
        <v>12260</v>
      </c>
    </row>
    <row r="271" spans="1:27" ht="15.75" customHeight="1" x14ac:dyDescent="0.2">
      <c r="C271" s="1">
        <v>66</v>
      </c>
      <c r="D271" s="1">
        <v>1</v>
      </c>
      <c r="E271" s="30">
        <f>Компонети!$F$36</f>
        <v>200</v>
      </c>
      <c r="F271">
        <f t="shared" si="4"/>
        <v>200</v>
      </c>
    </row>
    <row r="272" spans="1:27" ht="12.75" x14ac:dyDescent="0.2">
      <c r="C272" s="1" t="s">
        <v>56</v>
      </c>
      <c r="D272" s="1">
        <v>1</v>
      </c>
      <c r="E272">
        <f>Компонети!$F$41</f>
        <v>250</v>
      </c>
      <c r="F272">
        <f t="shared" si="4"/>
        <v>250</v>
      </c>
    </row>
    <row r="273" spans="1:27" ht="12.75" x14ac:dyDescent="0.2">
      <c r="C273" s="1" t="s">
        <v>62</v>
      </c>
      <c r="D273" s="1">
        <v>2</v>
      </c>
      <c r="E273">
        <f>Компонети!$F$44</f>
        <v>125</v>
      </c>
      <c r="F273">
        <f t="shared" si="4"/>
        <v>250</v>
      </c>
    </row>
    <row r="274" spans="1:27" ht="12.75" x14ac:dyDescent="0.2">
      <c r="C274" s="2" t="s">
        <v>64</v>
      </c>
      <c r="D274" s="1">
        <v>10</v>
      </c>
      <c r="E274">
        <f>Компонети!$F$45</f>
        <v>20</v>
      </c>
      <c r="F274">
        <f t="shared" si="4"/>
        <v>200</v>
      </c>
    </row>
    <row r="275" spans="1:27" ht="15.75" customHeight="1" x14ac:dyDescent="0.25">
      <c r="E275" s="19" t="s">
        <v>267</v>
      </c>
      <c r="F275" s="21">
        <f>SUM(F264:F274)</f>
        <v>20148.559999999998</v>
      </c>
    </row>
    <row r="276" spans="1:27" ht="25.5" x14ac:dyDescent="0.2">
      <c r="A276" s="5" t="s">
        <v>46</v>
      </c>
      <c r="B276" s="5" t="s">
        <v>111</v>
      </c>
      <c r="C276" s="31" t="s">
        <v>112</v>
      </c>
      <c r="D276" s="6"/>
      <c r="E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C277" s="1" t="s">
        <v>27</v>
      </c>
      <c r="D277" s="1">
        <v>1</v>
      </c>
      <c r="E277">
        <f>Компонети!$F$19</f>
        <v>318</v>
      </c>
      <c r="F277">
        <f t="shared" ref="F277:F326" si="5">E277*D277</f>
        <v>318</v>
      </c>
    </row>
    <row r="278" spans="1:27" ht="12.75" x14ac:dyDescent="0.2">
      <c r="C278" s="2" t="str">
        <f>Компонети!C8</f>
        <v>PMP483105000</v>
      </c>
      <c r="D278" s="1">
        <v>3</v>
      </c>
      <c r="E278">
        <f>Компонети!$F$8</f>
        <v>2223.6</v>
      </c>
      <c r="F278">
        <f t="shared" si="5"/>
        <v>6670.7999999999993</v>
      </c>
    </row>
    <row r="279" spans="1:27" ht="12.75" x14ac:dyDescent="0.2">
      <c r="C279" s="1" t="s">
        <v>28</v>
      </c>
      <c r="D279" s="1">
        <v>4</v>
      </c>
      <c r="E279">
        <f>Компонети!$F$20</f>
        <v>180</v>
      </c>
      <c r="F279">
        <f t="shared" si="5"/>
        <v>720</v>
      </c>
    </row>
    <row r="280" spans="1:27" ht="12.75" x14ac:dyDescent="0.2">
      <c r="C280" s="1" t="s">
        <v>30</v>
      </c>
      <c r="D280" s="1">
        <v>6</v>
      </c>
      <c r="E280">
        <f>Компонети!$F$21</f>
        <v>44.4</v>
      </c>
      <c r="F280">
        <f t="shared" si="5"/>
        <v>266.39999999999998</v>
      </c>
    </row>
    <row r="281" spans="1:27" ht="12.75" x14ac:dyDescent="0.2">
      <c r="C281" s="1" t="s">
        <v>32</v>
      </c>
      <c r="D281" s="1">
        <v>8</v>
      </c>
      <c r="E281">
        <f>Компонети!$F$22</f>
        <v>9.1199999999999992</v>
      </c>
      <c r="F281">
        <f t="shared" si="5"/>
        <v>72.959999999999994</v>
      </c>
    </row>
    <row r="282" spans="1:27" ht="12.75" x14ac:dyDescent="0.2">
      <c r="C282" s="1" t="s">
        <v>34</v>
      </c>
      <c r="D282" s="1">
        <v>6</v>
      </c>
      <c r="E282">
        <f>Компонети!$F$24</f>
        <v>9.1199999999999992</v>
      </c>
      <c r="F282">
        <f t="shared" si="5"/>
        <v>54.72</v>
      </c>
    </row>
    <row r="283" spans="1:27" ht="12.75" x14ac:dyDescent="0.2">
      <c r="C283" s="1" t="s">
        <v>404</v>
      </c>
      <c r="D283" s="1">
        <v>8</v>
      </c>
      <c r="E283">
        <f>Компонети!$F$32</f>
        <v>1226</v>
      </c>
      <c r="F283">
        <f t="shared" si="5"/>
        <v>9808</v>
      </c>
    </row>
    <row r="284" spans="1:27" ht="15.75" customHeight="1" x14ac:dyDescent="0.2">
      <c r="C284" s="1">
        <v>66</v>
      </c>
      <c r="D284" s="1">
        <v>1</v>
      </c>
      <c r="E284" s="30">
        <f>Компонети!$F$36</f>
        <v>200</v>
      </c>
      <c r="F284">
        <f t="shared" si="5"/>
        <v>200</v>
      </c>
    </row>
    <row r="285" spans="1:27" ht="12.75" x14ac:dyDescent="0.2">
      <c r="C285" s="1" t="s">
        <v>56</v>
      </c>
      <c r="D285" s="1">
        <v>1</v>
      </c>
      <c r="E285">
        <f>Компонети!$F$41</f>
        <v>250</v>
      </c>
      <c r="F285">
        <f t="shared" si="5"/>
        <v>250</v>
      </c>
    </row>
    <row r="286" spans="1:27" ht="12.75" x14ac:dyDescent="0.2">
      <c r="C286" s="1" t="s">
        <v>60</v>
      </c>
      <c r="D286" s="1">
        <v>2</v>
      </c>
      <c r="E286">
        <f>Компонети!$F$43</f>
        <v>120</v>
      </c>
      <c r="F286">
        <f t="shared" si="5"/>
        <v>240</v>
      </c>
    </row>
    <row r="287" spans="1:27" ht="12.75" x14ac:dyDescent="0.2">
      <c r="C287" s="2" t="s">
        <v>64</v>
      </c>
      <c r="D287" s="1">
        <v>8</v>
      </c>
      <c r="E287">
        <f>Компонети!$F$45</f>
        <v>20</v>
      </c>
      <c r="F287">
        <f t="shared" si="5"/>
        <v>160</v>
      </c>
    </row>
    <row r="288" spans="1:27" ht="15.75" customHeight="1" x14ac:dyDescent="0.25">
      <c r="E288" s="19" t="s">
        <v>267</v>
      </c>
      <c r="F288" s="21">
        <f>SUM(F277:F287)</f>
        <v>18760.879999999997</v>
      </c>
    </row>
    <row r="289" spans="1:27" ht="25.5" x14ac:dyDescent="0.2">
      <c r="A289" s="5" t="s">
        <v>46</v>
      </c>
      <c r="B289" s="5" t="s">
        <v>113</v>
      </c>
      <c r="C289" s="31" t="s">
        <v>114</v>
      </c>
      <c r="D289" s="6"/>
      <c r="E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C290" s="1" t="s">
        <v>27</v>
      </c>
      <c r="D290" s="1">
        <v>1</v>
      </c>
      <c r="E290">
        <f>Компонети!$F$19</f>
        <v>318</v>
      </c>
      <c r="F290">
        <f t="shared" si="5"/>
        <v>318</v>
      </c>
    </row>
    <row r="291" spans="1:27" ht="12.75" x14ac:dyDescent="0.2">
      <c r="C291" s="2" t="str">
        <f>Компонети!C8</f>
        <v>PMP483105000</v>
      </c>
      <c r="D291" s="1">
        <v>3</v>
      </c>
      <c r="E291">
        <f>Компонети!$F$8</f>
        <v>2223.6</v>
      </c>
      <c r="F291">
        <f t="shared" si="5"/>
        <v>6670.7999999999993</v>
      </c>
    </row>
    <row r="292" spans="1:27" ht="12.75" x14ac:dyDescent="0.2">
      <c r="C292" s="1" t="s">
        <v>28</v>
      </c>
      <c r="D292" s="1">
        <v>4</v>
      </c>
      <c r="E292">
        <f>Компонети!$F$20</f>
        <v>180</v>
      </c>
      <c r="F292">
        <f t="shared" si="5"/>
        <v>720</v>
      </c>
    </row>
    <row r="293" spans="1:27" ht="12.75" x14ac:dyDescent="0.2">
      <c r="C293" s="1" t="s">
        <v>30</v>
      </c>
      <c r="D293" s="1">
        <v>6</v>
      </c>
      <c r="E293">
        <f>Компонети!$F$21</f>
        <v>44.4</v>
      </c>
      <c r="F293">
        <f t="shared" si="5"/>
        <v>266.39999999999998</v>
      </c>
    </row>
    <row r="294" spans="1:27" ht="12.75" x14ac:dyDescent="0.2">
      <c r="C294" s="1" t="s">
        <v>32</v>
      </c>
      <c r="D294" s="1">
        <v>10</v>
      </c>
      <c r="E294">
        <f>Компонети!$F$22</f>
        <v>9.1199999999999992</v>
      </c>
      <c r="F294">
        <f t="shared" si="5"/>
        <v>91.199999999999989</v>
      </c>
    </row>
    <row r="295" spans="1:27" ht="12.75" x14ac:dyDescent="0.2">
      <c r="C295" s="1" t="s">
        <v>34</v>
      </c>
      <c r="D295" s="1">
        <v>6</v>
      </c>
      <c r="E295">
        <f>Компонети!$F$24</f>
        <v>9.1199999999999992</v>
      </c>
      <c r="F295">
        <f t="shared" si="5"/>
        <v>54.72</v>
      </c>
    </row>
    <row r="296" spans="1:27" ht="12.75" x14ac:dyDescent="0.2">
      <c r="C296" s="1" t="s">
        <v>404</v>
      </c>
      <c r="D296" s="1">
        <v>10</v>
      </c>
      <c r="E296">
        <f>Компонети!$F$32</f>
        <v>1226</v>
      </c>
      <c r="F296">
        <f t="shared" si="5"/>
        <v>12260</v>
      </c>
    </row>
    <row r="297" spans="1:27" ht="15.75" customHeight="1" x14ac:dyDescent="0.2">
      <c r="C297" s="1">
        <v>66</v>
      </c>
      <c r="D297" s="1">
        <v>1</v>
      </c>
      <c r="E297" s="30">
        <f>Компонети!$F$36</f>
        <v>200</v>
      </c>
      <c r="F297">
        <f t="shared" si="5"/>
        <v>200</v>
      </c>
    </row>
    <row r="298" spans="1:27" ht="12.75" x14ac:dyDescent="0.2">
      <c r="C298" s="1" t="s">
        <v>56</v>
      </c>
      <c r="D298" s="1">
        <v>1</v>
      </c>
      <c r="E298">
        <f>Компонети!$F$41</f>
        <v>250</v>
      </c>
      <c r="F298">
        <f t="shared" si="5"/>
        <v>250</v>
      </c>
    </row>
    <row r="299" spans="1:27" ht="12.75" x14ac:dyDescent="0.2">
      <c r="C299" s="1" t="s">
        <v>62</v>
      </c>
      <c r="D299" s="1">
        <v>2</v>
      </c>
      <c r="E299">
        <f>Компонети!$F$44</f>
        <v>125</v>
      </c>
      <c r="F299">
        <f t="shared" si="5"/>
        <v>250</v>
      </c>
    </row>
    <row r="300" spans="1:27" ht="12.75" x14ac:dyDescent="0.2">
      <c r="C300" s="2" t="s">
        <v>64</v>
      </c>
      <c r="D300" s="1">
        <v>10</v>
      </c>
      <c r="E300">
        <f>Компонети!$F$45</f>
        <v>20</v>
      </c>
      <c r="F300">
        <f t="shared" si="5"/>
        <v>200</v>
      </c>
    </row>
    <row r="301" spans="1:27" ht="15.75" customHeight="1" x14ac:dyDescent="0.25">
      <c r="E301" s="19" t="s">
        <v>267</v>
      </c>
      <c r="F301" s="21">
        <f>SUM(F290:F300)</f>
        <v>21281.119999999999</v>
      </c>
    </row>
    <row r="302" spans="1:27" ht="25.5" x14ac:dyDescent="0.2">
      <c r="A302" s="5" t="s">
        <v>46</v>
      </c>
      <c r="B302" s="5" t="s">
        <v>115</v>
      </c>
      <c r="C302" s="31" t="s">
        <v>116</v>
      </c>
      <c r="D302" s="6"/>
      <c r="E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C303" s="1" t="s">
        <v>27</v>
      </c>
      <c r="D303" s="1">
        <v>1</v>
      </c>
      <c r="E303">
        <f>Компонети!$F$19</f>
        <v>318</v>
      </c>
      <c r="F303">
        <f t="shared" si="5"/>
        <v>318</v>
      </c>
    </row>
    <row r="304" spans="1:27" ht="12.75" x14ac:dyDescent="0.2">
      <c r="C304" s="2" t="str">
        <f>Компонети!C8</f>
        <v>PMP483105000</v>
      </c>
      <c r="D304" s="1">
        <v>3</v>
      </c>
      <c r="E304">
        <f>Компонети!$F$8</f>
        <v>2223.6</v>
      </c>
      <c r="F304">
        <f t="shared" si="5"/>
        <v>6670.7999999999993</v>
      </c>
    </row>
    <row r="305" spans="1:6" ht="12.75" x14ac:dyDescent="0.2">
      <c r="C305" s="1" t="s">
        <v>28</v>
      </c>
      <c r="D305" s="1">
        <v>5</v>
      </c>
      <c r="E305">
        <f>Компонети!$F$20</f>
        <v>180</v>
      </c>
      <c r="F305">
        <f t="shared" si="5"/>
        <v>900</v>
      </c>
    </row>
    <row r="306" spans="1:6" ht="12.75" x14ac:dyDescent="0.2">
      <c r="C306" s="1" t="s">
        <v>30</v>
      </c>
      <c r="D306" s="1">
        <v>6</v>
      </c>
      <c r="E306">
        <f>Компонети!$F$21</f>
        <v>44.4</v>
      </c>
      <c r="F306">
        <f t="shared" si="5"/>
        <v>266.39999999999998</v>
      </c>
    </row>
    <row r="307" spans="1:6" ht="12.75" x14ac:dyDescent="0.2">
      <c r="C307" s="1" t="s">
        <v>32</v>
      </c>
      <c r="D307" s="1">
        <v>12</v>
      </c>
      <c r="E307">
        <f>Компонети!$F$22</f>
        <v>9.1199999999999992</v>
      </c>
      <c r="F307">
        <f t="shared" si="5"/>
        <v>109.44</v>
      </c>
    </row>
    <row r="308" spans="1:6" ht="12.75" x14ac:dyDescent="0.2">
      <c r="C308" s="1" t="s">
        <v>34</v>
      </c>
      <c r="D308" s="1">
        <v>6</v>
      </c>
      <c r="E308">
        <f>Компонети!$F$24</f>
        <v>9.1199999999999992</v>
      </c>
      <c r="F308">
        <f t="shared" si="5"/>
        <v>54.72</v>
      </c>
    </row>
    <row r="309" spans="1:6" ht="12.75" x14ac:dyDescent="0.2">
      <c r="C309" s="1" t="s">
        <v>404</v>
      </c>
      <c r="D309" s="1">
        <v>12</v>
      </c>
      <c r="E309">
        <f>Компонети!$F$32</f>
        <v>1226</v>
      </c>
      <c r="F309">
        <f t="shared" si="5"/>
        <v>14712</v>
      </c>
    </row>
    <row r="310" spans="1:6" ht="15.75" customHeight="1" x14ac:dyDescent="0.2">
      <c r="C310" s="1">
        <v>66</v>
      </c>
      <c r="D310" s="1">
        <v>1</v>
      </c>
      <c r="E310" s="30">
        <f>Компонети!$F$36</f>
        <v>200</v>
      </c>
      <c r="F310">
        <f t="shared" si="5"/>
        <v>200</v>
      </c>
    </row>
    <row r="311" spans="1:6" ht="12.75" x14ac:dyDescent="0.2">
      <c r="C311" s="1" t="s">
        <v>56</v>
      </c>
      <c r="D311" s="1">
        <v>1</v>
      </c>
      <c r="E311">
        <f>Компонети!$F$41</f>
        <v>250</v>
      </c>
      <c r="F311">
        <f t="shared" si="5"/>
        <v>250</v>
      </c>
    </row>
    <row r="312" spans="1:6" ht="12.75" x14ac:dyDescent="0.2">
      <c r="C312" s="1" t="s">
        <v>60</v>
      </c>
      <c r="D312" s="1">
        <v>3</v>
      </c>
      <c r="E312">
        <f>Компонети!$F$43</f>
        <v>120</v>
      </c>
      <c r="F312">
        <f t="shared" si="5"/>
        <v>360</v>
      </c>
    </row>
    <row r="313" spans="1:6" ht="12.75" x14ac:dyDescent="0.2">
      <c r="C313" s="2" t="s">
        <v>64</v>
      </c>
      <c r="D313" s="1">
        <v>12</v>
      </c>
      <c r="E313">
        <f>Компонети!$F$45</f>
        <v>20</v>
      </c>
      <c r="F313">
        <f t="shared" si="5"/>
        <v>240</v>
      </c>
    </row>
    <row r="314" spans="1:6" ht="15.75" customHeight="1" x14ac:dyDescent="0.25">
      <c r="E314" s="19" t="s">
        <v>267</v>
      </c>
      <c r="F314" s="21">
        <f>SUM(F303:F313)</f>
        <v>24081.360000000001</v>
      </c>
    </row>
    <row r="315" spans="1:6" ht="25.5" x14ac:dyDescent="0.2">
      <c r="A315" s="5" t="s">
        <v>46</v>
      </c>
      <c r="B315" s="5" t="s">
        <v>117</v>
      </c>
      <c r="C315" s="31" t="s">
        <v>118</v>
      </c>
      <c r="D315" s="6"/>
    </row>
    <row r="316" spans="1:6" ht="12.75" x14ac:dyDescent="0.2">
      <c r="C316" s="1" t="s">
        <v>27</v>
      </c>
      <c r="D316" s="1">
        <v>1</v>
      </c>
      <c r="E316">
        <f>Компонети!$F$19</f>
        <v>318</v>
      </c>
      <c r="F316">
        <f t="shared" si="5"/>
        <v>318</v>
      </c>
    </row>
    <row r="317" spans="1:6" ht="12.75" x14ac:dyDescent="0.2">
      <c r="C317" s="2" t="str">
        <f>Компонети!C9</f>
        <v>PMP483150000</v>
      </c>
      <c r="D317" s="1">
        <v>3</v>
      </c>
      <c r="E317">
        <f>Компонети!$F$9</f>
        <v>3102</v>
      </c>
      <c r="F317">
        <f t="shared" si="5"/>
        <v>9306</v>
      </c>
    </row>
    <row r="318" spans="1:6" ht="12.75" x14ac:dyDescent="0.2">
      <c r="C318" s="1" t="s">
        <v>28</v>
      </c>
      <c r="D318" s="1">
        <v>4</v>
      </c>
      <c r="E318">
        <f>Компонети!$F$20</f>
        <v>180</v>
      </c>
      <c r="F318">
        <f t="shared" si="5"/>
        <v>720</v>
      </c>
    </row>
    <row r="319" spans="1:6" ht="12.75" x14ac:dyDescent="0.2">
      <c r="C319" s="1" t="s">
        <v>30</v>
      </c>
      <c r="D319" s="1">
        <v>6</v>
      </c>
      <c r="E319">
        <f>Компонети!$F$21</f>
        <v>44.4</v>
      </c>
      <c r="F319">
        <f t="shared" si="5"/>
        <v>266.39999999999998</v>
      </c>
    </row>
    <row r="320" spans="1:6" ht="12.75" x14ac:dyDescent="0.2">
      <c r="C320" s="1" t="s">
        <v>32</v>
      </c>
      <c r="D320" s="1">
        <v>9</v>
      </c>
      <c r="E320">
        <f>Компонети!$F$22</f>
        <v>9.1199999999999992</v>
      </c>
      <c r="F320">
        <f t="shared" si="5"/>
        <v>82.08</v>
      </c>
    </row>
    <row r="321" spans="1:6" ht="12.75" x14ac:dyDescent="0.2">
      <c r="C321" s="1" t="s">
        <v>36</v>
      </c>
      <c r="D321" s="1">
        <v>6</v>
      </c>
      <c r="E321">
        <f>Компонети!$F$25</f>
        <v>9.1199999999999992</v>
      </c>
      <c r="F321">
        <f t="shared" si="5"/>
        <v>54.72</v>
      </c>
    </row>
    <row r="322" spans="1:6" ht="12.75" x14ac:dyDescent="0.2">
      <c r="C322" s="1" t="s">
        <v>404</v>
      </c>
      <c r="D322" s="1">
        <v>9</v>
      </c>
      <c r="E322">
        <f>Компонети!$F$32</f>
        <v>1226</v>
      </c>
      <c r="F322">
        <f t="shared" si="5"/>
        <v>11034</v>
      </c>
    </row>
    <row r="323" spans="1:6" ht="15.75" customHeight="1" x14ac:dyDescent="0.2">
      <c r="C323" s="1">
        <v>66</v>
      </c>
      <c r="D323" s="1">
        <v>1</v>
      </c>
      <c r="E323" s="30">
        <f>Компонети!$F$36</f>
        <v>200</v>
      </c>
      <c r="F323">
        <f t="shared" si="5"/>
        <v>200</v>
      </c>
    </row>
    <row r="324" spans="1:6" ht="12.75" x14ac:dyDescent="0.2">
      <c r="C324" s="1" t="s">
        <v>56</v>
      </c>
      <c r="D324" s="1">
        <v>1</v>
      </c>
      <c r="E324">
        <f>Компонети!$F$41</f>
        <v>250</v>
      </c>
      <c r="F324">
        <f t="shared" si="5"/>
        <v>250</v>
      </c>
    </row>
    <row r="325" spans="1:6" ht="12.75" x14ac:dyDescent="0.2">
      <c r="C325" s="1" t="s">
        <v>62</v>
      </c>
      <c r="D325" s="1">
        <v>2</v>
      </c>
      <c r="E325">
        <f>Компонети!$F$44</f>
        <v>125</v>
      </c>
      <c r="F325">
        <f t="shared" si="5"/>
        <v>250</v>
      </c>
    </row>
    <row r="326" spans="1:6" ht="12.75" x14ac:dyDescent="0.2">
      <c r="C326" s="2" t="s">
        <v>64</v>
      </c>
      <c r="D326" s="1">
        <v>9</v>
      </c>
      <c r="E326">
        <f>Компонети!$F$45</f>
        <v>20</v>
      </c>
      <c r="F326">
        <f t="shared" si="5"/>
        <v>180</v>
      </c>
    </row>
    <row r="327" spans="1:6" ht="15.75" customHeight="1" x14ac:dyDescent="0.25">
      <c r="E327" s="19" t="s">
        <v>267</v>
      </c>
      <c r="F327" s="21">
        <f>SUM(F316:F326)</f>
        <v>22661.199999999997</v>
      </c>
    </row>
    <row r="328" spans="1:6" ht="25.5" x14ac:dyDescent="0.2">
      <c r="A328" s="5" t="s">
        <v>46</v>
      </c>
      <c r="B328" s="5" t="s">
        <v>119</v>
      </c>
      <c r="C328" s="31" t="s">
        <v>120</v>
      </c>
      <c r="D328" s="6"/>
    </row>
    <row r="329" spans="1:6" ht="12.75" x14ac:dyDescent="0.2">
      <c r="C329" s="1" t="s">
        <v>27</v>
      </c>
      <c r="D329" s="1">
        <v>1</v>
      </c>
      <c r="E329">
        <f>Компонети!$F$19</f>
        <v>318</v>
      </c>
      <c r="F329">
        <f t="shared" ref="F329:F352" si="6">E329*D329</f>
        <v>318</v>
      </c>
    </row>
    <row r="330" spans="1:6" ht="12.75" x14ac:dyDescent="0.2">
      <c r="C330" s="2" t="str">
        <f>Компонети!C9</f>
        <v>PMP483150000</v>
      </c>
      <c r="D330" s="1">
        <v>3</v>
      </c>
      <c r="E330">
        <f>Компонети!$F$9</f>
        <v>3102</v>
      </c>
      <c r="F330">
        <f t="shared" si="6"/>
        <v>9306</v>
      </c>
    </row>
    <row r="331" spans="1:6" ht="12.75" x14ac:dyDescent="0.2">
      <c r="C331" s="1" t="s">
        <v>28</v>
      </c>
      <c r="D331" s="1">
        <v>5</v>
      </c>
      <c r="E331">
        <f>Компонети!$F$20</f>
        <v>180</v>
      </c>
      <c r="F331">
        <f t="shared" si="6"/>
        <v>900</v>
      </c>
    </row>
    <row r="332" spans="1:6" ht="12.75" x14ac:dyDescent="0.2">
      <c r="C332" s="1" t="s">
        <v>30</v>
      </c>
      <c r="D332" s="1">
        <v>6</v>
      </c>
      <c r="E332">
        <f>Компонети!$F$21</f>
        <v>44.4</v>
      </c>
      <c r="F332">
        <f t="shared" si="6"/>
        <v>266.39999999999998</v>
      </c>
    </row>
    <row r="333" spans="1:6" ht="12.75" x14ac:dyDescent="0.2">
      <c r="C333" s="1" t="s">
        <v>32</v>
      </c>
      <c r="D333" s="1">
        <v>12</v>
      </c>
      <c r="E333">
        <f>Компонети!$F$22</f>
        <v>9.1199999999999992</v>
      </c>
      <c r="F333">
        <f t="shared" si="6"/>
        <v>109.44</v>
      </c>
    </row>
    <row r="334" spans="1:6" ht="12.75" x14ac:dyDescent="0.2">
      <c r="C334" s="1" t="s">
        <v>36</v>
      </c>
      <c r="D334" s="1">
        <v>6</v>
      </c>
      <c r="E334">
        <f>Компонети!$F$25</f>
        <v>9.1199999999999992</v>
      </c>
      <c r="F334">
        <f t="shared" si="6"/>
        <v>54.72</v>
      </c>
    </row>
    <row r="335" spans="1:6" ht="12.75" x14ac:dyDescent="0.2">
      <c r="C335" s="1" t="s">
        <v>404</v>
      </c>
      <c r="D335" s="1">
        <v>12</v>
      </c>
      <c r="E335">
        <f>Компонети!$F$32</f>
        <v>1226</v>
      </c>
      <c r="F335">
        <f t="shared" si="6"/>
        <v>14712</v>
      </c>
    </row>
    <row r="336" spans="1:6" ht="15.75" customHeight="1" x14ac:dyDescent="0.2">
      <c r="C336" s="1">
        <v>66</v>
      </c>
      <c r="D336" s="1">
        <v>1</v>
      </c>
      <c r="E336" s="30">
        <f>Компонети!$F$36</f>
        <v>200</v>
      </c>
      <c r="F336">
        <f t="shared" si="6"/>
        <v>200</v>
      </c>
    </row>
    <row r="337" spans="1:6" ht="12.75" x14ac:dyDescent="0.2">
      <c r="C337" s="1" t="s">
        <v>56</v>
      </c>
      <c r="D337" s="1">
        <v>1</v>
      </c>
      <c r="E337">
        <f>Компонети!$F$41</f>
        <v>250</v>
      </c>
      <c r="F337">
        <f t="shared" si="6"/>
        <v>250</v>
      </c>
    </row>
    <row r="338" spans="1:6" ht="12.75" x14ac:dyDescent="0.2">
      <c r="C338" s="1" t="s">
        <v>62</v>
      </c>
      <c r="D338" s="1">
        <v>2</v>
      </c>
      <c r="E338">
        <f>Компонети!$F$44</f>
        <v>125</v>
      </c>
      <c r="F338">
        <f t="shared" si="6"/>
        <v>250</v>
      </c>
    </row>
    <row r="339" spans="1:6" ht="12.75" x14ac:dyDescent="0.2">
      <c r="C339" s="2" t="s">
        <v>64</v>
      </c>
      <c r="D339" s="1">
        <v>12</v>
      </c>
      <c r="E339">
        <f>Компонети!$F$45</f>
        <v>20</v>
      </c>
      <c r="F339">
        <f t="shared" si="6"/>
        <v>240</v>
      </c>
    </row>
    <row r="340" spans="1:6" ht="15.75" customHeight="1" x14ac:dyDescent="0.25">
      <c r="E340" s="19" t="s">
        <v>267</v>
      </c>
      <c r="F340" s="21">
        <f>SUM(F329:F339)</f>
        <v>26606.559999999998</v>
      </c>
    </row>
    <row r="341" spans="1:6" ht="25.5" x14ac:dyDescent="0.2">
      <c r="A341" s="5" t="s">
        <v>46</v>
      </c>
      <c r="B341" s="5" t="s">
        <v>121</v>
      </c>
      <c r="C341" s="31" t="s">
        <v>122</v>
      </c>
      <c r="D341" s="6"/>
    </row>
    <row r="342" spans="1:6" ht="12.75" x14ac:dyDescent="0.2">
      <c r="C342" s="1" t="s">
        <v>27</v>
      </c>
      <c r="D342" s="1">
        <v>1</v>
      </c>
      <c r="E342">
        <f>Компонети!$F$19</f>
        <v>318</v>
      </c>
      <c r="F342">
        <f t="shared" si="6"/>
        <v>318</v>
      </c>
    </row>
    <row r="343" spans="1:6" ht="12.75" x14ac:dyDescent="0.2">
      <c r="C343" s="2" t="str">
        <f>Компонети!C9</f>
        <v>PMP483150000</v>
      </c>
      <c r="D343" s="1">
        <v>3</v>
      </c>
      <c r="E343">
        <f>Компонети!$F$9</f>
        <v>3102</v>
      </c>
      <c r="F343">
        <f t="shared" si="6"/>
        <v>9306</v>
      </c>
    </row>
    <row r="344" spans="1:6" ht="12.75" x14ac:dyDescent="0.2">
      <c r="C344" s="1" t="s">
        <v>28</v>
      </c>
      <c r="D344" s="1">
        <v>6</v>
      </c>
      <c r="E344">
        <f>Компонети!$F$20</f>
        <v>180</v>
      </c>
      <c r="F344">
        <f t="shared" si="6"/>
        <v>1080</v>
      </c>
    </row>
    <row r="345" spans="1:6" ht="12.75" x14ac:dyDescent="0.2">
      <c r="C345" s="1" t="s">
        <v>30</v>
      </c>
      <c r="D345" s="1">
        <v>6</v>
      </c>
      <c r="E345">
        <f>Компонети!$F$21</f>
        <v>44.4</v>
      </c>
      <c r="F345">
        <f t="shared" si="6"/>
        <v>266.39999999999998</v>
      </c>
    </row>
    <row r="346" spans="1:6" ht="12.75" x14ac:dyDescent="0.2">
      <c r="C346" s="1" t="s">
        <v>32</v>
      </c>
      <c r="D346" s="1">
        <v>15</v>
      </c>
      <c r="E346">
        <f>Компонети!$F$22</f>
        <v>9.1199999999999992</v>
      </c>
      <c r="F346">
        <f t="shared" si="6"/>
        <v>136.79999999999998</v>
      </c>
    </row>
    <row r="347" spans="1:6" ht="12.75" x14ac:dyDescent="0.2">
      <c r="C347" s="1" t="s">
        <v>36</v>
      </c>
      <c r="D347" s="1">
        <v>6</v>
      </c>
      <c r="E347">
        <f>Компонети!$F$25</f>
        <v>9.1199999999999992</v>
      </c>
      <c r="F347">
        <f t="shared" si="6"/>
        <v>54.72</v>
      </c>
    </row>
    <row r="348" spans="1:6" ht="12.75" x14ac:dyDescent="0.2">
      <c r="C348" s="1" t="s">
        <v>404</v>
      </c>
      <c r="D348" s="1">
        <v>15</v>
      </c>
      <c r="E348">
        <f>Компонети!$F$32</f>
        <v>1226</v>
      </c>
      <c r="F348">
        <f t="shared" si="6"/>
        <v>18390</v>
      </c>
    </row>
    <row r="349" spans="1:6" ht="15.75" customHeight="1" x14ac:dyDescent="0.2">
      <c r="C349" s="1">
        <f>Компонети!$C$36</f>
        <v>66</v>
      </c>
      <c r="D349" s="1">
        <v>1</v>
      </c>
      <c r="E349" s="30">
        <f>Компонети!$F$36</f>
        <v>200</v>
      </c>
      <c r="F349">
        <f t="shared" si="6"/>
        <v>200</v>
      </c>
    </row>
    <row r="350" spans="1:6" ht="12.75" x14ac:dyDescent="0.2">
      <c r="C350" s="1" t="s">
        <v>56</v>
      </c>
      <c r="D350" s="1">
        <v>1</v>
      </c>
      <c r="E350">
        <f>Компонети!$F$41</f>
        <v>250</v>
      </c>
      <c r="F350">
        <f t="shared" si="6"/>
        <v>250</v>
      </c>
    </row>
    <row r="351" spans="1:6" ht="12.75" x14ac:dyDescent="0.2">
      <c r="C351" s="1" t="s">
        <v>62</v>
      </c>
      <c r="D351" s="1">
        <v>3</v>
      </c>
      <c r="E351">
        <f>Компонети!$F$44</f>
        <v>125</v>
      </c>
      <c r="F351">
        <f t="shared" si="6"/>
        <v>375</v>
      </c>
    </row>
    <row r="352" spans="1:6" ht="12.75" x14ac:dyDescent="0.2">
      <c r="C352" s="2" t="s">
        <v>64</v>
      </c>
      <c r="D352" s="1">
        <v>15</v>
      </c>
      <c r="E352">
        <f>Компонети!$F$45</f>
        <v>20</v>
      </c>
      <c r="F352">
        <f t="shared" si="6"/>
        <v>300</v>
      </c>
    </row>
    <row r="353" spans="5:6" ht="15.75" customHeight="1" x14ac:dyDescent="0.25">
      <c r="E353" s="19" t="s">
        <v>267</v>
      </c>
      <c r="F353" s="21">
        <f>SUM(F342:F352)</f>
        <v>30676.92</v>
      </c>
    </row>
  </sheetData>
  <mergeCells count="1">
    <mergeCell ref="A145:H1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3">
    <outlinePr summaryBelow="0" summaryRight="0"/>
  </sheetPr>
  <dimension ref="A1:AA302"/>
  <sheetViews>
    <sheetView zoomScale="96" zoomScaleNormal="145" workbookViewId="0">
      <selection activeCell="C5" sqref="C5"/>
    </sheetView>
  </sheetViews>
  <sheetFormatPr defaultColWidth="12.5703125" defaultRowHeight="15" customHeight="1" x14ac:dyDescent="0.2"/>
  <cols>
    <col min="1" max="1" width="12" customWidth="1"/>
    <col min="2" max="2" width="42.5703125" customWidth="1"/>
    <col min="3" max="3" width="17.7109375" customWidth="1"/>
    <col min="4" max="5" width="17.85546875" bestFit="1" customWidth="1"/>
    <col min="8" max="8" width="18.7109375" bestFit="1" customWidth="1"/>
  </cols>
  <sheetData>
    <row r="1" spans="1:27" ht="15" customHeight="1" x14ac:dyDescent="0.2">
      <c r="A1" s="44" t="s">
        <v>123</v>
      </c>
      <c r="B1" s="45"/>
      <c r="C1" s="45"/>
      <c r="D1" s="4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5.5" x14ac:dyDescent="0.2">
      <c r="A2" s="9" t="s">
        <v>46</v>
      </c>
      <c r="B2" s="5" t="s">
        <v>124</v>
      </c>
      <c r="C2" s="33" t="s">
        <v>125</v>
      </c>
      <c r="D2" s="6" t="s">
        <v>265</v>
      </c>
      <c r="E2" s="6" t="s">
        <v>264</v>
      </c>
      <c r="F2" s="6" t="s">
        <v>266</v>
      </c>
      <c r="G2" s="10"/>
      <c r="H2" s="6" t="s">
        <v>263</v>
      </c>
      <c r="I2" s="3" t="s">
        <v>268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 x14ac:dyDescent="0.2">
      <c r="B3" s="11"/>
      <c r="C3" s="1" t="s">
        <v>27</v>
      </c>
      <c r="D3" s="1">
        <v>1</v>
      </c>
      <c r="E3">
        <f>Компонети!$F$19</f>
        <v>318</v>
      </c>
      <c r="F3">
        <f>E3*D3</f>
        <v>318</v>
      </c>
      <c r="H3" s="28" t="str">
        <f>C2</f>
        <v>TQS4802001005GX</v>
      </c>
      <c r="I3" s="20">
        <f>F14</f>
        <v>4740.96</v>
      </c>
    </row>
    <row r="4" spans="1:27" ht="15" customHeight="1" x14ac:dyDescent="0.2">
      <c r="B4" s="11"/>
      <c r="C4" s="1" t="s">
        <v>19</v>
      </c>
      <c r="D4" s="1">
        <v>1</v>
      </c>
      <c r="E4">
        <f>Компонети!$F$11</f>
        <v>1429.2</v>
      </c>
      <c r="F4">
        <f t="shared" ref="F4:F65" si="0">E4*D4</f>
        <v>1429.2</v>
      </c>
      <c r="H4" s="28" t="str">
        <f>C15</f>
        <v>TQS4803001005GX</v>
      </c>
      <c r="I4" s="20">
        <f>F27</f>
        <v>5996.08</v>
      </c>
    </row>
    <row r="5" spans="1:27" ht="15" customHeight="1" x14ac:dyDescent="0.2">
      <c r="B5" s="11"/>
      <c r="C5" s="1" t="s">
        <v>28</v>
      </c>
      <c r="D5" s="1">
        <v>1</v>
      </c>
      <c r="E5">
        <f>Компонети!$F$20</f>
        <v>180</v>
      </c>
      <c r="F5">
        <f t="shared" si="0"/>
        <v>180</v>
      </c>
      <c r="H5" s="28" t="str">
        <f>C28</f>
        <v>TQS4802001008GX</v>
      </c>
      <c r="I5" s="20">
        <f>F40</f>
        <v>5731.9599999999991</v>
      </c>
    </row>
    <row r="6" spans="1:27" ht="15" customHeight="1" x14ac:dyDescent="0.2">
      <c r="B6" s="11"/>
      <c r="C6" s="1" t="s">
        <v>30</v>
      </c>
      <c r="D6" s="1">
        <v>1</v>
      </c>
      <c r="E6">
        <f>Компонети!$F$21</f>
        <v>44.4</v>
      </c>
      <c r="F6">
        <f t="shared" si="0"/>
        <v>44.4</v>
      </c>
      <c r="H6" s="28" t="str">
        <f>C41</f>
        <v>TQS4803001008GX</v>
      </c>
      <c r="I6" s="20">
        <f>F53</f>
        <v>6987.08</v>
      </c>
    </row>
    <row r="7" spans="1:27" ht="15" customHeight="1" x14ac:dyDescent="0.2">
      <c r="B7" s="11"/>
      <c r="C7" s="1" t="s">
        <v>32</v>
      </c>
      <c r="D7" s="1">
        <v>2</v>
      </c>
      <c r="E7">
        <f>Компонети!$F$22</f>
        <v>9.1199999999999992</v>
      </c>
      <c r="F7">
        <f t="shared" si="0"/>
        <v>18.239999999999998</v>
      </c>
      <c r="H7" s="28" t="str">
        <f>C54</f>
        <v>TQS4803001010GX</v>
      </c>
      <c r="I7" s="20">
        <f>F66</f>
        <v>7498.2800000000007</v>
      </c>
    </row>
    <row r="8" spans="1:27" ht="15" customHeight="1" x14ac:dyDescent="0.2">
      <c r="B8" s="11"/>
      <c r="C8" s="1" t="s">
        <v>34</v>
      </c>
      <c r="D8" s="1">
        <v>1</v>
      </c>
      <c r="E8">
        <f>Компонети!$F$24</f>
        <v>9.1199999999999992</v>
      </c>
      <c r="F8">
        <f t="shared" si="0"/>
        <v>9.1199999999999992</v>
      </c>
      <c r="H8" s="28" t="str">
        <f>C67</f>
        <v>TQS4804001010GX</v>
      </c>
      <c r="I8" s="20">
        <f>F79</f>
        <v>8953.4</v>
      </c>
    </row>
    <row r="9" spans="1:27" ht="15" customHeight="1" x14ac:dyDescent="0.2">
      <c r="B9" s="11"/>
      <c r="C9" s="1" t="s">
        <v>404</v>
      </c>
      <c r="D9" s="1">
        <v>2</v>
      </c>
      <c r="E9">
        <f>Компонети!$F$32</f>
        <v>1226</v>
      </c>
      <c r="F9">
        <f t="shared" si="0"/>
        <v>2452</v>
      </c>
      <c r="H9" s="28" t="str">
        <f>C80</f>
        <v>TQS4805001010GX</v>
      </c>
      <c r="I9" s="20">
        <f>F92</f>
        <v>10213.52</v>
      </c>
    </row>
    <row r="10" spans="1:27" ht="15" customHeight="1" x14ac:dyDescent="0.2">
      <c r="B10" s="11"/>
      <c r="C10" s="1">
        <v>63</v>
      </c>
      <c r="D10" s="1">
        <v>1</v>
      </c>
      <c r="E10">
        <f>Компонети!$F$35</f>
        <v>100</v>
      </c>
      <c r="F10">
        <f t="shared" si="0"/>
        <v>100</v>
      </c>
      <c r="H10" s="28" t="str">
        <f>C93</f>
        <v>TQS4804001015GX</v>
      </c>
      <c r="I10" s="20">
        <f>F105</f>
        <v>9860.119999999999</v>
      </c>
    </row>
    <row r="11" spans="1:27" ht="15" customHeight="1" x14ac:dyDescent="0.2">
      <c r="B11" s="11"/>
      <c r="C11" s="1" t="s">
        <v>50</v>
      </c>
      <c r="D11" s="1">
        <v>1</v>
      </c>
      <c r="E11">
        <f>Компонети!$F$38</f>
        <v>50</v>
      </c>
      <c r="F11">
        <f t="shared" si="0"/>
        <v>50</v>
      </c>
      <c r="H11" s="28" t="str">
        <f>C106</f>
        <v>TQS4805001015GX</v>
      </c>
      <c r="I11" s="20">
        <f>F118</f>
        <v>11120.240000000002</v>
      </c>
    </row>
    <row r="12" spans="1:27" ht="15" customHeight="1" x14ac:dyDescent="0.2">
      <c r="B12" s="11"/>
      <c r="C12" s="2" t="s">
        <v>58</v>
      </c>
      <c r="D12" s="1">
        <v>1</v>
      </c>
      <c r="E12">
        <f>Компонети!$F$42</f>
        <v>100</v>
      </c>
      <c r="F12">
        <f t="shared" si="0"/>
        <v>100</v>
      </c>
      <c r="H12" s="28" t="str">
        <f>C119</f>
        <v>TQS4806001015GX</v>
      </c>
      <c r="I12" s="20">
        <f>F131</f>
        <v>12375.36</v>
      </c>
    </row>
    <row r="13" spans="1:27" ht="15" customHeight="1" x14ac:dyDescent="0.2">
      <c r="B13" s="11"/>
      <c r="C13" s="2" t="s">
        <v>64</v>
      </c>
      <c r="D13" s="1">
        <v>2</v>
      </c>
      <c r="E13">
        <f>Компонети!$F$45</f>
        <v>20</v>
      </c>
      <c r="F13">
        <f t="shared" si="0"/>
        <v>40</v>
      </c>
      <c r="H13" s="28" t="str">
        <f>C134</f>
        <v>TQS4803003015GX</v>
      </c>
      <c r="I13" s="20">
        <f>F146</f>
        <v>9341.52</v>
      </c>
    </row>
    <row r="14" spans="1:27" ht="15" customHeight="1" x14ac:dyDescent="0.25">
      <c r="B14" s="11"/>
      <c r="D14" s="20"/>
      <c r="E14" s="19" t="s">
        <v>267</v>
      </c>
      <c r="F14" s="21">
        <f>SUM(F3:F13)</f>
        <v>4740.96</v>
      </c>
      <c r="H14" s="28" t="str">
        <f>C147</f>
        <v>TQS4804003015GX</v>
      </c>
      <c r="I14" s="20">
        <f>F159</f>
        <v>10616.64</v>
      </c>
    </row>
    <row r="15" spans="1:27" ht="25.5" x14ac:dyDescent="0.2">
      <c r="A15" s="9" t="s">
        <v>46</v>
      </c>
      <c r="B15" s="5" t="s">
        <v>126</v>
      </c>
      <c r="C15" s="33" t="s">
        <v>127</v>
      </c>
      <c r="D15" s="10"/>
      <c r="E15" s="10"/>
      <c r="F15">
        <f t="shared" si="0"/>
        <v>0</v>
      </c>
      <c r="G15" s="10"/>
      <c r="H15" s="28" t="str">
        <f>C160</f>
        <v>TQS4805003015GX</v>
      </c>
      <c r="I15" s="20">
        <f>F172</f>
        <v>11876.76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" customHeight="1" x14ac:dyDescent="0.2">
      <c r="B16" s="11"/>
      <c r="C16" s="1" t="s">
        <v>27</v>
      </c>
      <c r="D16" s="1">
        <v>1</v>
      </c>
      <c r="E16">
        <f>Компонети!$F$19</f>
        <v>318</v>
      </c>
      <c r="F16">
        <f t="shared" si="0"/>
        <v>318</v>
      </c>
      <c r="H16" s="28" t="str">
        <f>C173</f>
        <v>TQS4805003024GX</v>
      </c>
      <c r="I16" s="20">
        <f>F185</f>
        <v>14874.759999999998</v>
      </c>
    </row>
    <row r="17" spans="1:27" ht="15" customHeight="1" x14ac:dyDescent="0.2">
      <c r="B17" s="11"/>
      <c r="C17" s="1" t="s">
        <v>19</v>
      </c>
      <c r="D17" s="1">
        <v>1</v>
      </c>
      <c r="E17">
        <f>Компонети!$F$11</f>
        <v>1429.2</v>
      </c>
      <c r="F17">
        <f t="shared" si="0"/>
        <v>1429.2</v>
      </c>
      <c r="H17" s="28" t="str">
        <f>C186</f>
        <v>TQS4806003024GX</v>
      </c>
      <c r="I17" s="20">
        <f>F198</f>
        <v>16309.88</v>
      </c>
    </row>
    <row r="18" spans="1:27" ht="15" customHeight="1" x14ac:dyDescent="0.2">
      <c r="B18" s="11"/>
      <c r="C18" s="1" t="s">
        <v>28</v>
      </c>
      <c r="D18" s="1">
        <v>1</v>
      </c>
      <c r="E18">
        <f>Компонети!$F$20</f>
        <v>180</v>
      </c>
      <c r="F18">
        <f t="shared" si="0"/>
        <v>180</v>
      </c>
      <c r="H18" s="28" t="str">
        <f>C199</f>
        <v>TQS4808003024GX</v>
      </c>
      <c r="I18" s="20">
        <f>F211</f>
        <v>18935.12</v>
      </c>
    </row>
    <row r="19" spans="1:27" ht="15" customHeight="1" x14ac:dyDescent="0.2">
      <c r="B19" s="11"/>
      <c r="C19" s="1" t="s">
        <v>30</v>
      </c>
      <c r="D19" s="1">
        <v>1</v>
      </c>
      <c r="E19">
        <f>Компонети!$F$21</f>
        <v>44.4</v>
      </c>
      <c r="F19">
        <f t="shared" si="0"/>
        <v>44.4</v>
      </c>
      <c r="H19" s="20" t="str">
        <f>C212</f>
        <v>TQS4808003030GX</v>
      </c>
      <c r="I19" s="20">
        <f>F224</f>
        <v>20676.079999999998</v>
      </c>
    </row>
    <row r="20" spans="1:27" ht="15" customHeight="1" x14ac:dyDescent="0.2">
      <c r="B20" s="11"/>
      <c r="C20" s="1" t="s">
        <v>32</v>
      </c>
      <c r="D20" s="1">
        <v>3</v>
      </c>
      <c r="E20">
        <f>Компонети!$F$22</f>
        <v>9.1199999999999992</v>
      </c>
      <c r="F20">
        <f t="shared" si="0"/>
        <v>27.36</v>
      </c>
      <c r="H20" s="20" t="str">
        <f>C225</f>
        <v>TQS4810003030GX</v>
      </c>
      <c r="I20" s="20">
        <f>F237</f>
        <v>23196.32</v>
      </c>
    </row>
    <row r="21" spans="1:27" ht="15" customHeight="1" x14ac:dyDescent="0.2">
      <c r="B21" s="11"/>
      <c r="C21" s="1" t="s">
        <v>34</v>
      </c>
      <c r="D21" s="1">
        <v>1</v>
      </c>
      <c r="E21">
        <f>Компонети!$F$24</f>
        <v>9.1199999999999992</v>
      </c>
      <c r="F21">
        <f t="shared" si="0"/>
        <v>9.1199999999999992</v>
      </c>
      <c r="H21" s="20" t="str">
        <f>C238</f>
        <v>TQS4812003030GX</v>
      </c>
      <c r="I21" s="20">
        <f>F250</f>
        <v>25886.559999999998</v>
      </c>
    </row>
    <row r="22" spans="1:27" ht="15" customHeight="1" x14ac:dyDescent="0.2">
      <c r="B22" s="11"/>
      <c r="C22" s="1" t="s">
        <v>404</v>
      </c>
      <c r="D22" s="1">
        <v>3</v>
      </c>
      <c r="E22">
        <f>Компонети!$F$32</f>
        <v>1226</v>
      </c>
      <c r="F22">
        <f t="shared" si="0"/>
        <v>3678</v>
      </c>
      <c r="H22" s="20" t="str">
        <f>C251</f>
        <v>TQS4812003045GX</v>
      </c>
      <c r="I22" s="20">
        <f>F263</f>
        <v>28579.360000000001</v>
      </c>
    </row>
    <row r="23" spans="1:27" ht="15" customHeight="1" x14ac:dyDescent="0.2">
      <c r="B23" s="11"/>
      <c r="C23" s="1">
        <v>63</v>
      </c>
      <c r="D23" s="1">
        <v>1</v>
      </c>
      <c r="E23">
        <f>Компонети!$F$35</f>
        <v>100</v>
      </c>
      <c r="F23">
        <f t="shared" si="0"/>
        <v>100</v>
      </c>
      <c r="H23" s="20" t="str">
        <f>C264</f>
        <v>TQS4815003045GX</v>
      </c>
      <c r="I23" s="20">
        <f>F276</f>
        <v>32649.719999999998</v>
      </c>
    </row>
    <row r="24" spans="1:27" ht="15" customHeight="1" x14ac:dyDescent="0.2">
      <c r="B24" s="11"/>
      <c r="C24" s="1" t="s">
        <v>50</v>
      </c>
      <c r="D24" s="1">
        <v>1</v>
      </c>
      <c r="E24">
        <f>Компонети!$F$38</f>
        <v>50</v>
      </c>
      <c r="F24">
        <f t="shared" si="0"/>
        <v>50</v>
      </c>
      <c r="H24" s="20" t="str">
        <f>C277</f>
        <v>TQS4818003045GX</v>
      </c>
      <c r="I24" s="20">
        <f>F289</f>
        <v>36415.08</v>
      </c>
    </row>
    <row r="25" spans="1:27" ht="15" customHeight="1" x14ac:dyDescent="0.2">
      <c r="B25" s="11"/>
      <c r="C25" s="2" t="s">
        <v>58</v>
      </c>
      <c r="D25" s="1">
        <v>1</v>
      </c>
      <c r="E25">
        <f>Компонети!$F$42</f>
        <v>100</v>
      </c>
      <c r="F25">
        <f t="shared" si="0"/>
        <v>100</v>
      </c>
      <c r="H25" s="20" t="str">
        <f>C290</f>
        <v>TQS4820003045GX</v>
      </c>
      <c r="I25" s="20">
        <f>F302</f>
        <v>39105.32</v>
      </c>
    </row>
    <row r="26" spans="1:27" ht="15" customHeight="1" x14ac:dyDescent="0.2">
      <c r="B26" s="11"/>
      <c r="C26" s="2" t="s">
        <v>64</v>
      </c>
      <c r="D26" s="1">
        <v>3</v>
      </c>
      <c r="E26">
        <f>Компонети!$F$45</f>
        <v>20</v>
      </c>
      <c r="F26">
        <f t="shared" si="0"/>
        <v>60</v>
      </c>
    </row>
    <row r="27" spans="1:27" ht="15" customHeight="1" x14ac:dyDescent="0.25">
      <c r="A27" s="1"/>
      <c r="B27" s="12"/>
      <c r="C27" s="1"/>
      <c r="E27" s="19" t="s">
        <v>267</v>
      </c>
      <c r="F27" s="21">
        <f>SUM(F16:F26)</f>
        <v>5996.08</v>
      </c>
    </row>
    <row r="28" spans="1:27" ht="38.25" x14ac:dyDescent="0.2">
      <c r="A28" s="9" t="s">
        <v>46</v>
      </c>
      <c r="B28" s="5" t="s">
        <v>128</v>
      </c>
      <c r="C28" s="33" t="s">
        <v>129</v>
      </c>
      <c r="D28" s="10"/>
      <c r="E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" customHeight="1" x14ac:dyDescent="0.2">
      <c r="B29" s="11"/>
      <c r="C29" s="1" t="s">
        <v>27</v>
      </c>
      <c r="D29" s="1">
        <v>1</v>
      </c>
      <c r="E29">
        <f>Компонети!$F$19</f>
        <v>318</v>
      </c>
      <c r="F29">
        <f t="shared" si="0"/>
        <v>318</v>
      </c>
    </row>
    <row r="30" spans="1:27" ht="15" customHeight="1" x14ac:dyDescent="0.2">
      <c r="B30" s="11"/>
      <c r="C30" s="1" t="s">
        <v>21</v>
      </c>
      <c r="D30" s="1">
        <v>1</v>
      </c>
      <c r="E30">
        <f>Компонети!$F$12</f>
        <v>2395.1999999999998</v>
      </c>
      <c r="F30">
        <f t="shared" si="0"/>
        <v>2395.1999999999998</v>
      </c>
    </row>
    <row r="31" spans="1:27" ht="15" customHeight="1" x14ac:dyDescent="0.2">
      <c r="B31" s="11"/>
      <c r="C31" s="1" t="s">
        <v>28</v>
      </c>
      <c r="D31" s="1">
        <v>1</v>
      </c>
      <c r="E31">
        <f>Компонети!$F$20</f>
        <v>180</v>
      </c>
      <c r="F31">
        <f t="shared" si="0"/>
        <v>180</v>
      </c>
    </row>
    <row r="32" spans="1:27" ht="15" customHeight="1" x14ac:dyDescent="0.2">
      <c r="B32" s="11"/>
      <c r="C32" s="1" t="s">
        <v>30</v>
      </c>
      <c r="D32" s="1">
        <v>1</v>
      </c>
      <c r="E32">
        <f>Компонети!$F$21</f>
        <v>44.4</v>
      </c>
      <c r="F32">
        <f t="shared" si="0"/>
        <v>44.4</v>
      </c>
    </row>
    <row r="33" spans="1:27" ht="15" customHeight="1" x14ac:dyDescent="0.2">
      <c r="B33" s="11"/>
      <c r="C33" s="1" t="s">
        <v>32</v>
      </c>
      <c r="D33" s="1">
        <v>2</v>
      </c>
      <c r="E33">
        <f>Компонети!$F$22</f>
        <v>9.1199999999999992</v>
      </c>
      <c r="F33">
        <f t="shared" si="0"/>
        <v>18.239999999999998</v>
      </c>
    </row>
    <row r="34" spans="1:27" ht="15" customHeight="1" x14ac:dyDescent="0.2">
      <c r="B34" s="11"/>
      <c r="C34" s="1" t="s">
        <v>38</v>
      </c>
      <c r="D34" s="1">
        <v>1</v>
      </c>
      <c r="E34">
        <f>Компонети!$F$26</f>
        <v>9.1199999999999992</v>
      </c>
      <c r="F34">
        <f t="shared" si="0"/>
        <v>9.1199999999999992</v>
      </c>
    </row>
    <row r="35" spans="1:27" ht="15" customHeight="1" x14ac:dyDescent="0.2">
      <c r="B35" s="11"/>
      <c r="C35" s="1" t="s">
        <v>404</v>
      </c>
      <c r="D35" s="1">
        <v>2</v>
      </c>
      <c r="E35">
        <f>Компонети!$F$32</f>
        <v>1226</v>
      </c>
      <c r="F35">
        <f t="shared" si="0"/>
        <v>2452</v>
      </c>
    </row>
    <row r="36" spans="1:27" ht="15" customHeight="1" x14ac:dyDescent="0.2">
      <c r="B36" s="11"/>
      <c r="C36" s="1">
        <v>63</v>
      </c>
      <c r="D36" s="1">
        <v>1</v>
      </c>
      <c r="E36">
        <f>Компонети!$F$35</f>
        <v>100</v>
      </c>
      <c r="F36">
        <f t="shared" si="0"/>
        <v>100</v>
      </c>
    </row>
    <row r="37" spans="1:27" ht="15" customHeight="1" x14ac:dyDescent="0.2">
      <c r="B37" s="11"/>
      <c r="C37" s="1" t="s">
        <v>52</v>
      </c>
      <c r="D37" s="1">
        <v>1</v>
      </c>
      <c r="E37">
        <f>Компонети!$F$39</f>
        <v>75</v>
      </c>
      <c r="F37">
        <f t="shared" si="0"/>
        <v>75</v>
      </c>
    </row>
    <row r="38" spans="1:27" ht="15" customHeight="1" x14ac:dyDescent="0.2">
      <c r="B38" s="11"/>
      <c r="C38" s="2" t="s">
        <v>58</v>
      </c>
      <c r="D38" s="1">
        <v>1</v>
      </c>
      <c r="E38">
        <f>Компонети!$F$42</f>
        <v>100</v>
      </c>
      <c r="F38">
        <f t="shared" si="0"/>
        <v>100</v>
      </c>
    </row>
    <row r="39" spans="1:27" ht="15" customHeight="1" x14ac:dyDescent="0.2">
      <c r="B39" s="11"/>
      <c r="C39" s="2" t="s">
        <v>64</v>
      </c>
      <c r="D39" s="1">
        <v>2</v>
      </c>
      <c r="E39">
        <f>Компонети!$F$45</f>
        <v>20</v>
      </c>
      <c r="F39">
        <f t="shared" si="0"/>
        <v>40</v>
      </c>
    </row>
    <row r="40" spans="1:27" ht="15" customHeight="1" x14ac:dyDescent="0.25">
      <c r="B40" s="11"/>
      <c r="E40" s="19" t="s">
        <v>267</v>
      </c>
      <c r="F40" s="21">
        <f>SUM(F29:F39)</f>
        <v>5731.9599999999991</v>
      </c>
    </row>
    <row r="41" spans="1:27" ht="38.25" x14ac:dyDescent="0.2">
      <c r="A41" s="9" t="s">
        <v>46</v>
      </c>
      <c r="B41" s="5" t="s">
        <v>130</v>
      </c>
      <c r="C41" s="33" t="s">
        <v>131</v>
      </c>
      <c r="D41" s="10"/>
      <c r="E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" customHeight="1" x14ac:dyDescent="0.2">
      <c r="B42" s="11"/>
      <c r="C42" s="1" t="s">
        <v>27</v>
      </c>
      <c r="D42" s="1">
        <v>1</v>
      </c>
      <c r="E42">
        <f>Компонети!$F$19</f>
        <v>318</v>
      </c>
      <c r="F42">
        <f t="shared" si="0"/>
        <v>318</v>
      </c>
    </row>
    <row r="43" spans="1:27" ht="15" customHeight="1" x14ac:dyDescent="0.2">
      <c r="B43" s="11"/>
      <c r="C43" s="1" t="s">
        <v>21</v>
      </c>
      <c r="D43" s="1">
        <v>1</v>
      </c>
      <c r="E43">
        <f>Компонети!$F$12</f>
        <v>2395.1999999999998</v>
      </c>
      <c r="F43">
        <f t="shared" si="0"/>
        <v>2395.1999999999998</v>
      </c>
    </row>
    <row r="44" spans="1:27" ht="15" customHeight="1" x14ac:dyDescent="0.2">
      <c r="B44" s="11"/>
      <c r="C44" s="1" t="s">
        <v>28</v>
      </c>
      <c r="D44" s="1">
        <v>1</v>
      </c>
      <c r="E44">
        <f>Компонети!$F$20</f>
        <v>180</v>
      </c>
      <c r="F44">
        <f t="shared" si="0"/>
        <v>180</v>
      </c>
    </row>
    <row r="45" spans="1:27" ht="15" customHeight="1" x14ac:dyDescent="0.2">
      <c r="B45" s="11"/>
      <c r="C45" s="1" t="s">
        <v>30</v>
      </c>
      <c r="D45" s="1">
        <v>1</v>
      </c>
      <c r="E45">
        <f>Компонети!$F$21</f>
        <v>44.4</v>
      </c>
      <c r="F45">
        <f t="shared" si="0"/>
        <v>44.4</v>
      </c>
    </row>
    <row r="46" spans="1:27" ht="15" customHeight="1" x14ac:dyDescent="0.2">
      <c r="B46" s="11"/>
      <c r="C46" s="1" t="s">
        <v>32</v>
      </c>
      <c r="D46" s="1">
        <v>3</v>
      </c>
      <c r="E46">
        <f>Компонети!$F$22</f>
        <v>9.1199999999999992</v>
      </c>
      <c r="F46">
        <f t="shared" si="0"/>
        <v>27.36</v>
      </c>
    </row>
    <row r="47" spans="1:27" ht="15" customHeight="1" x14ac:dyDescent="0.2">
      <c r="B47" s="11"/>
      <c r="C47" s="1" t="s">
        <v>38</v>
      </c>
      <c r="D47" s="1">
        <v>1</v>
      </c>
      <c r="E47">
        <f>Компонети!$F$26</f>
        <v>9.1199999999999992</v>
      </c>
      <c r="F47">
        <f t="shared" si="0"/>
        <v>9.1199999999999992</v>
      </c>
    </row>
    <row r="48" spans="1:27" ht="15" customHeight="1" x14ac:dyDescent="0.2">
      <c r="B48" s="11"/>
      <c r="C48" s="1" t="s">
        <v>404</v>
      </c>
      <c r="D48" s="1">
        <v>3</v>
      </c>
      <c r="E48">
        <f>Компонети!$F$32</f>
        <v>1226</v>
      </c>
      <c r="F48">
        <f t="shared" si="0"/>
        <v>3678</v>
      </c>
    </row>
    <row r="49" spans="1:27" ht="15" customHeight="1" x14ac:dyDescent="0.2">
      <c r="B49" s="11"/>
      <c r="C49" s="1">
        <v>63</v>
      </c>
      <c r="D49" s="1">
        <v>1</v>
      </c>
      <c r="E49">
        <f>Компонети!$F$35</f>
        <v>100</v>
      </c>
      <c r="F49">
        <f t="shared" si="0"/>
        <v>100</v>
      </c>
    </row>
    <row r="50" spans="1:27" ht="15" customHeight="1" x14ac:dyDescent="0.2">
      <c r="B50" s="11"/>
      <c r="C50" s="1" t="s">
        <v>52</v>
      </c>
      <c r="D50" s="1">
        <v>1</v>
      </c>
      <c r="E50">
        <f>Компонети!$F$39</f>
        <v>75</v>
      </c>
      <c r="F50">
        <f t="shared" si="0"/>
        <v>75</v>
      </c>
    </row>
    <row r="51" spans="1:27" ht="15" customHeight="1" x14ac:dyDescent="0.2">
      <c r="B51" s="11"/>
      <c r="C51" s="2" t="s">
        <v>58</v>
      </c>
      <c r="D51" s="1">
        <v>1</v>
      </c>
      <c r="E51">
        <f>Компонети!$F$42</f>
        <v>100</v>
      </c>
      <c r="F51">
        <f t="shared" si="0"/>
        <v>100</v>
      </c>
    </row>
    <row r="52" spans="1:27" ht="15" customHeight="1" x14ac:dyDescent="0.2">
      <c r="B52" s="11"/>
      <c r="C52" s="2" t="s">
        <v>64</v>
      </c>
      <c r="D52" s="1">
        <v>3</v>
      </c>
      <c r="E52">
        <f>Компонети!$F$45</f>
        <v>20</v>
      </c>
      <c r="F52">
        <f t="shared" si="0"/>
        <v>60</v>
      </c>
    </row>
    <row r="53" spans="1:27" ht="15" customHeight="1" x14ac:dyDescent="0.25">
      <c r="B53" s="11"/>
      <c r="E53" s="19" t="s">
        <v>267</v>
      </c>
      <c r="F53" s="21">
        <f>SUM(F42:F52)</f>
        <v>6987.08</v>
      </c>
    </row>
    <row r="54" spans="1:27" ht="38.25" x14ac:dyDescent="0.2">
      <c r="A54" s="9" t="s">
        <v>46</v>
      </c>
      <c r="B54" s="5" t="s">
        <v>132</v>
      </c>
      <c r="C54" s="33" t="s">
        <v>133</v>
      </c>
      <c r="D54" s="10"/>
      <c r="E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" customHeight="1" x14ac:dyDescent="0.2">
      <c r="B55" s="11"/>
      <c r="C55" s="1" t="s">
        <v>27</v>
      </c>
      <c r="D55" s="1">
        <v>1</v>
      </c>
      <c r="E55">
        <f>Компонети!$F$19</f>
        <v>318</v>
      </c>
      <c r="F55">
        <f t="shared" si="0"/>
        <v>318</v>
      </c>
    </row>
    <row r="56" spans="1:27" ht="15" customHeight="1" x14ac:dyDescent="0.2">
      <c r="B56" s="11"/>
      <c r="C56" s="1" t="s">
        <v>23</v>
      </c>
      <c r="D56" s="1">
        <v>1</v>
      </c>
      <c r="E56">
        <f>Компонети!$F$13</f>
        <v>2862</v>
      </c>
      <c r="F56">
        <f t="shared" si="0"/>
        <v>2862</v>
      </c>
    </row>
    <row r="57" spans="1:27" ht="15" customHeight="1" x14ac:dyDescent="0.2">
      <c r="B57" s="11"/>
      <c r="C57" s="1" t="s">
        <v>28</v>
      </c>
      <c r="D57" s="1">
        <v>1</v>
      </c>
      <c r="E57">
        <f>Компонети!$F$20</f>
        <v>180</v>
      </c>
      <c r="F57">
        <f t="shared" si="0"/>
        <v>180</v>
      </c>
    </row>
    <row r="58" spans="1:27" ht="15" customHeight="1" x14ac:dyDescent="0.2">
      <c r="B58" s="11"/>
      <c r="C58" s="1" t="s">
        <v>30</v>
      </c>
      <c r="D58" s="1">
        <v>2</v>
      </c>
      <c r="E58">
        <f>Компонети!$F$21</f>
        <v>44.4</v>
      </c>
      <c r="F58">
        <f t="shared" si="0"/>
        <v>88.8</v>
      </c>
    </row>
    <row r="59" spans="1:27" ht="15" customHeight="1" x14ac:dyDescent="0.2">
      <c r="B59" s="11"/>
      <c r="C59" s="1" t="s">
        <v>32</v>
      </c>
      <c r="D59" s="1">
        <v>3</v>
      </c>
      <c r="E59">
        <f>Компонети!$F$22</f>
        <v>9.1199999999999992</v>
      </c>
      <c r="F59">
        <f t="shared" si="0"/>
        <v>27.36</v>
      </c>
    </row>
    <row r="60" spans="1:27" ht="15" customHeight="1" x14ac:dyDescent="0.2">
      <c r="B60" s="11"/>
      <c r="C60" s="1" t="s">
        <v>40</v>
      </c>
      <c r="D60" s="1">
        <v>1</v>
      </c>
      <c r="E60">
        <f>Компонети!$F$27</f>
        <v>9.1199999999999992</v>
      </c>
      <c r="F60">
        <f t="shared" si="0"/>
        <v>9.1199999999999992</v>
      </c>
    </row>
    <row r="61" spans="1:27" ht="15" customHeight="1" x14ac:dyDescent="0.2">
      <c r="B61" s="11"/>
      <c r="C61" s="1" t="s">
        <v>404</v>
      </c>
      <c r="D61" s="1">
        <v>3</v>
      </c>
      <c r="E61">
        <f>Компонети!$F$32</f>
        <v>1226</v>
      </c>
      <c r="F61">
        <f t="shared" si="0"/>
        <v>3678</v>
      </c>
    </row>
    <row r="62" spans="1:27" ht="15" customHeight="1" x14ac:dyDescent="0.2">
      <c r="B62" s="11"/>
      <c r="C62" s="1">
        <v>63</v>
      </c>
      <c r="D62" s="1">
        <v>1</v>
      </c>
      <c r="E62">
        <f>Компонети!$F$35</f>
        <v>100</v>
      </c>
      <c r="F62">
        <f t="shared" si="0"/>
        <v>100</v>
      </c>
    </row>
    <row r="63" spans="1:27" ht="15" customHeight="1" x14ac:dyDescent="0.2">
      <c r="B63" s="11"/>
      <c r="C63" s="1" t="s">
        <v>52</v>
      </c>
      <c r="D63" s="1">
        <v>1</v>
      </c>
      <c r="E63">
        <f>Компонети!$F$39</f>
        <v>75</v>
      </c>
      <c r="F63">
        <f t="shared" si="0"/>
        <v>75</v>
      </c>
    </row>
    <row r="64" spans="1:27" ht="15" customHeight="1" x14ac:dyDescent="0.2">
      <c r="B64" s="11"/>
      <c r="C64" s="2" t="s">
        <v>58</v>
      </c>
      <c r="D64" s="1">
        <v>1</v>
      </c>
      <c r="E64">
        <f>Компонети!$F$42</f>
        <v>100</v>
      </c>
      <c r="F64">
        <f t="shared" si="0"/>
        <v>100</v>
      </c>
    </row>
    <row r="65" spans="1:27" ht="15" customHeight="1" x14ac:dyDescent="0.2">
      <c r="B65" s="11"/>
      <c r="C65" s="2" t="s">
        <v>64</v>
      </c>
      <c r="D65" s="1">
        <v>3</v>
      </c>
      <c r="E65">
        <f>Компонети!$F$45</f>
        <v>20</v>
      </c>
      <c r="F65">
        <f t="shared" si="0"/>
        <v>60</v>
      </c>
    </row>
    <row r="66" spans="1:27" ht="15" customHeight="1" x14ac:dyDescent="0.25">
      <c r="B66" s="11"/>
      <c r="E66" s="19" t="s">
        <v>267</v>
      </c>
      <c r="F66" s="21">
        <f>SUM(F55:F65)</f>
        <v>7498.2800000000007</v>
      </c>
    </row>
    <row r="67" spans="1:27" ht="38.25" x14ac:dyDescent="0.2">
      <c r="A67" s="9" t="s">
        <v>46</v>
      </c>
      <c r="B67" s="5" t="s">
        <v>134</v>
      </c>
      <c r="C67" s="33" t="s">
        <v>135</v>
      </c>
      <c r="D67" s="10"/>
      <c r="E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" customHeight="1" x14ac:dyDescent="0.2">
      <c r="B68" s="11"/>
      <c r="C68" s="1" t="s">
        <v>27</v>
      </c>
      <c r="D68" s="1">
        <v>1</v>
      </c>
      <c r="E68">
        <f>Компонети!$F$19</f>
        <v>318</v>
      </c>
      <c r="F68">
        <f t="shared" ref="F68:F130" si="1">E68*D68</f>
        <v>318</v>
      </c>
    </row>
    <row r="69" spans="1:27" ht="15" customHeight="1" x14ac:dyDescent="0.2">
      <c r="B69" s="11"/>
      <c r="C69" s="1" t="s">
        <v>23</v>
      </c>
      <c r="D69" s="1">
        <v>1</v>
      </c>
      <c r="E69">
        <f>Компонети!$F$13</f>
        <v>2862</v>
      </c>
      <c r="F69">
        <f t="shared" si="1"/>
        <v>2862</v>
      </c>
    </row>
    <row r="70" spans="1:27" ht="15" customHeight="1" x14ac:dyDescent="0.2">
      <c r="B70" s="11"/>
      <c r="C70" s="1" t="s">
        <v>28</v>
      </c>
      <c r="D70" s="1">
        <v>2</v>
      </c>
      <c r="E70">
        <f>Компонети!$F$20</f>
        <v>180</v>
      </c>
      <c r="F70">
        <f t="shared" si="1"/>
        <v>360</v>
      </c>
    </row>
    <row r="71" spans="1:27" ht="15" customHeight="1" x14ac:dyDescent="0.2">
      <c r="B71" s="11"/>
      <c r="C71" s="1" t="s">
        <v>30</v>
      </c>
      <c r="D71" s="1">
        <v>2</v>
      </c>
      <c r="E71">
        <f>Компонети!$F$21</f>
        <v>44.4</v>
      </c>
      <c r="F71">
        <f t="shared" si="1"/>
        <v>88.8</v>
      </c>
    </row>
    <row r="72" spans="1:27" ht="15" customHeight="1" x14ac:dyDescent="0.2">
      <c r="B72" s="11"/>
      <c r="C72" s="1" t="s">
        <v>32</v>
      </c>
      <c r="D72" s="1">
        <v>4</v>
      </c>
      <c r="E72">
        <f>Компонети!$F$22</f>
        <v>9.1199999999999992</v>
      </c>
      <c r="F72">
        <f t="shared" si="1"/>
        <v>36.479999999999997</v>
      </c>
    </row>
    <row r="73" spans="1:27" ht="15" customHeight="1" x14ac:dyDescent="0.2">
      <c r="B73" s="11"/>
      <c r="C73" s="1" t="s">
        <v>40</v>
      </c>
      <c r="D73" s="1">
        <v>1</v>
      </c>
      <c r="E73">
        <f>Компонети!$F$27</f>
        <v>9.1199999999999992</v>
      </c>
      <c r="F73">
        <f t="shared" si="1"/>
        <v>9.1199999999999992</v>
      </c>
    </row>
    <row r="74" spans="1:27" ht="15" customHeight="1" x14ac:dyDescent="0.2">
      <c r="B74" s="11"/>
      <c r="C74" s="1" t="s">
        <v>404</v>
      </c>
      <c r="D74" s="1">
        <v>4</v>
      </c>
      <c r="E74">
        <f>Компонети!$F$32</f>
        <v>1226</v>
      </c>
      <c r="F74">
        <f t="shared" si="1"/>
        <v>4904</v>
      </c>
    </row>
    <row r="75" spans="1:27" ht="15" customHeight="1" x14ac:dyDescent="0.2">
      <c r="B75" s="11"/>
      <c r="C75" s="1">
        <v>63</v>
      </c>
      <c r="D75" s="1">
        <v>1</v>
      </c>
      <c r="E75">
        <f>Компонети!$F$35</f>
        <v>100</v>
      </c>
      <c r="F75">
        <f t="shared" si="1"/>
        <v>100</v>
      </c>
    </row>
    <row r="76" spans="1:27" ht="15" customHeight="1" x14ac:dyDescent="0.2">
      <c r="B76" s="11"/>
      <c r="C76" s="1" t="s">
        <v>52</v>
      </c>
      <c r="D76" s="1">
        <v>1</v>
      </c>
      <c r="E76">
        <f>Компонети!$F$39</f>
        <v>75</v>
      </c>
      <c r="F76">
        <f t="shared" si="1"/>
        <v>75</v>
      </c>
    </row>
    <row r="77" spans="1:27" ht="15" customHeight="1" x14ac:dyDescent="0.2">
      <c r="B77" s="11"/>
      <c r="C77" s="1" t="s">
        <v>60</v>
      </c>
      <c r="D77" s="1">
        <v>1</v>
      </c>
      <c r="E77">
        <f>Компонети!$F$43</f>
        <v>120</v>
      </c>
      <c r="F77">
        <f t="shared" si="1"/>
        <v>120</v>
      </c>
    </row>
    <row r="78" spans="1:27" ht="15" customHeight="1" x14ac:dyDescent="0.2">
      <c r="B78" s="11"/>
      <c r="C78" s="2" t="s">
        <v>64</v>
      </c>
      <c r="D78" s="1">
        <v>4</v>
      </c>
      <c r="E78">
        <f>Компонети!$F$45</f>
        <v>20</v>
      </c>
      <c r="F78">
        <f t="shared" si="1"/>
        <v>80</v>
      </c>
    </row>
    <row r="79" spans="1:27" ht="15" customHeight="1" x14ac:dyDescent="0.25">
      <c r="B79" s="11"/>
      <c r="E79" s="19" t="s">
        <v>267</v>
      </c>
      <c r="F79" s="21">
        <f>SUM(F68:F78)</f>
        <v>8953.4</v>
      </c>
    </row>
    <row r="80" spans="1:27" ht="38.25" x14ac:dyDescent="0.2">
      <c r="A80" s="9" t="s">
        <v>46</v>
      </c>
      <c r="B80" s="5" t="s">
        <v>136</v>
      </c>
      <c r="C80" s="33" t="s">
        <v>137</v>
      </c>
      <c r="D80" s="10"/>
      <c r="E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" customHeight="1" x14ac:dyDescent="0.2">
      <c r="B81" s="11"/>
      <c r="C81" s="1" t="s">
        <v>27</v>
      </c>
      <c r="D81" s="1">
        <v>1</v>
      </c>
      <c r="E81">
        <f>Компонети!$F$19</f>
        <v>318</v>
      </c>
      <c r="F81">
        <f t="shared" si="1"/>
        <v>318</v>
      </c>
    </row>
    <row r="82" spans="1:27" ht="15" customHeight="1" x14ac:dyDescent="0.2">
      <c r="B82" s="11"/>
      <c r="C82" s="1" t="s">
        <v>23</v>
      </c>
      <c r="D82" s="1">
        <v>1</v>
      </c>
      <c r="E82">
        <f>Компонети!$F$13</f>
        <v>2862</v>
      </c>
      <c r="F82">
        <f t="shared" si="1"/>
        <v>2862</v>
      </c>
    </row>
    <row r="83" spans="1:27" ht="15" customHeight="1" x14ac:dyDescent="0.2">
      <c r="B83" s="11"/>
      <c r="C83" s="1" t="s">
        <v>28</v>
      </c>
      <c r="D83" s="1">
        <v>2</v>
      </c>
      <c r="E83">
        <f>Компонети!$F$20</f>
        <v>180</v>
      </c>
      <c r="F83">
        <f t="shared" si="1"/>
        <v>360</v>
      </c>
    </row>
    <row r="84" spans="1:27" ht="15" customHeight="1" x14ac:dyDescent="0.2">
      <c r="B84" s="11"/>
      <c r="C84" s="1" t="s">
        <v>30</v>
      </c>
      <c r="D84" s="1">
        <v>2</v>
      </c>
      <c r="E84">
        <f>Компонети!$F$21</f>
        <v>44.4</v>
      </c>
      <c r="F84">
        <f t="shared" si="1"/>
        <v>88.8</v>
      </c>
    </row>
    <row r="85" spans="1:27" ht="15" customHeight="1" x14ac:dyDescent="0.2">
      <c r="B85" s="11"/>
      <c r="C85" s="1" t="s">
        <v>32</v>
      </c>
      <c r="D85" s="1">
        <v>5</v>
      </c>
      <c r="E85">
        <f>Компонети!$F$22</f>
        <v>9.1199999999999992</v>
      </c>
      <c r="F85">
        <f t="shared" si="1"/>
        <v>45.599999999999994</v>
      </c>
    </row>
    <row r="86" spans="1:27" ht="15" customHeight="1" x14ac:dyDescent="0.2">
      <c r="B86" s="11"/>
      <c r="C86" s="1" t="s">
        <v>40</v>
      </c>
      <c r="D86" s="1">
        <v>1</v>
      </c>
      <c r="E86">
        <f>Компонети!$F$27</f>
        <v>9.1199999999999992</v>
      </c>
      <c r="F86">
        <f t="shared" si="1"/>
        <v>9.1199999999999992</v>
      </c>
    </row>
    <row r="87" spans="1:27" ht="15" customHeight="1" x14ac:dyDescent="0.2">
      <c r="B87" s="11"/>
      <c r="C87" s="1" t="s">
        <v>404</v>
      </c>
      <c r="D87" s="1">
        <v>5</v>
      </c>
      <c r="E87">
        <f>Компонети!$F$32</f>
        <v>1226</v>
      </c>
      <c r="F87">
        <f t="shared" si="1"/>
        <v>6130</v>
      </c>
    </row>
    <row r="88" spans="1:27" ht="15" customHeight="1" x14ac:dyDescent="0.2">
      <c r="B88" s="11"/>
      <c r="C88" s="1">
        <v>63</v>
      </c>
      <c r="D88" s="1">
        <v>1</v>
      </c>
      <c r="E88">
        <f>Компонети!$F$35</f>
        <v>100</v>
      </c>
      <c r="F88">
        <f t="shared" si="1"/>
        <v>100</v>
      </c>
    </row>
    <row r="89" spans="1:27" ht="15" customHeight="1" x14ac:dyDescent="0.2">
      <c r="B89" s="11"/>
      <c r="C89" s="1" t="s">
        <v>52</v>
      </c>
      <c r="D89" s="1">
        <v>1</v>
      </c>
      <c r="E89">
        <f>Компонети!$F$39</f>
        <v>75</v>
      </c>
      <c r="F89">
        <f t="shared" si="1"/>
        <v>75</v>
      </c>
    </row>
    <row r="90" spans="1:27" ht="15" customHeight="1" x14ac:dyDescent="0.2">
      <c r="B90" s="11"/>
      <c r="C90" s="1" t="s">
        <v>62</v>
      </c>
      <c r="D90" s="1">
        <v>1</v>
      </c>
      <c r="E90">
        <f>Компонети!$F$44</f>
        <v>125</v>
      </c>
      <c r="F90">
        <f t="shared" si="1"/>
        <v>125</v>
      </c>
    </row>
    <row r="91" spans="1:27" ht="15" customHeight="1" x14ac:dyDescent="0.2">
      <c r="B91" s="11"/>
      <c r="C91" s="2" t="s">
        <v>64</v>
      </c>
      <c r="D91" s="1">
        <v>5</v>
      </c>
      <c r="E91">
        <f>Компонети!$F$45</f>
        <v>20</v>
      </c>
      <c r="F91">
        <f t="shared" si="1"/>
        <v>100</v>
      </c>
    </row>
    <row r="92" spans="1:27" ht="15" customHeight="1" x14ac:dyDescent="0.25">
      <c r="A92" s="9"/>
      <c r="B92" s="5"/>
      <c r="C92" s="9"/>
      <c r="D92" s="10"/>
      <c r="E92" s="19" t="s">
        <v>267</v>
      </c>
      <c r="F92" s="21">
        <f>SUM(F81:F91)</f>
        <v>10213.52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38.25" x14ac:dyDescent="0.2">
      <c r="A93" s="9" t="s">
        <v>46</v>
      </c>
      <c r="B93" s="5" t="s">
        <v>138</v>
      </c>
      <c r="C93" s="33" t="s">
        <v>139</v>
      </c>
      <c r="D93" s="10"/>
      <c r="E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" customHeight="1" x14ac:dyDescent="0.2">
      <c r="B94" s="11"/>
      <c r="C94" s="1" t="s">
        <v>27</v>
      </c>
      <c r="D94" s="1">
        <v>1</v>
      </c>
      <c r="E94">
        <f>Компонети!$F$19</f>
        <v>318</v>
      </c>
      <c r="F94">
        <f t="shared" si="1"/>
        <v>318</v>
      </c>
    </row>
    <row r="95" spans="1:27" ht="15" customHeight="1" x14ac:dyDescent="0.2">
      <c r="B95" s="11"/>
      <c r="C95" s="1" t="s">
        <v>25</v>
      </c>
      <c r="D95" s="1">
        <v>1</v>
      </c>
      <c r="E95">
        <f>Компонети!$F$14</f>
        <v>3759.6</v>
      </c>
      <c r="F95">
        <f t="shared" si="1"/>
        <v>3759.6</v>
      </c>
    </row>
    <row r="96" spans="1:27" ht="15" customHeight="1" x14ac:dyDescent="0.2">
      <c r="B96" s="11"/>
      <c r="C96" s="1" t="s">
        <v>28</v>
      </c>
      <c r="D96" s="1">
        <v>2</v>
      </c>
      <c r="E96">
        <f>Компонети!$F$20</f>
        <v>180</v>
      </c>
      <c r="F96">
        <f t="shared" si="1"/>
        <v>360</v>
      </c>
    </row>
    <row r="97" spans="1:27" ht="15" customHeight="1" x14ac:dyDescent="0.2">
      <c r="B97" s="11"/>
      <c r="C97" s="1" t="s">
        <v>30</v>
      </c>
      <c r="D97" s="1">
        <v>2</v>
      </c>
      <c r="E97">
        <f>Компонети!$F$21</f>
        <v>44.4</v>
      </c>
      <c r="F97">
        <f t="shared" si="1"/>
        <v>88.8</v>
      </c>
    </row>
    <row r="98" spans="1:27" ht="15" customHeight="1" x14ac:dyDescent="0.2">
      <c r="B98" s="11"/>
      <c r="C98" s="1" t="s">
        <v>32</v>
      </c>
      <c r="D98" s="1">
        <v>4</v>
      </c>
      <c r="E98">
        <f>Компонети!$F$22</f>
        <v>9.1199999999999992</v>
      </c>
      <c r="F98">
        <f t="shared" si="1"/>
        <v>36.479999999999997</v>
      </c>
    </row>
    <row r="99" spans="1:27" ht="15" customHeight="1" x14ac:dyDescent="0.2">
      <c r="B99" s="11"/>
      <c r="C99" s="1" t="s">
        <v>38</v>
      </c>
      <c r="D99" s="1">
        <v>2</v>
      </c>
      <c r="E99">
        <f>Компонети!$F$26</f>
        <v>9.1199999999999992</v>
      </c>
      <c r="F99">
        <f t="shared" si="1"/>
        <v>18.239999999999998</v>
      </c>
    </row>
    <row r="100" spans="1:27" ht="15" customHeight="1" x14ac:dyDescent="0.2">
      <c r="B100" s="11"/>
      <c r="C100" s="1" t="s">
        <v>404</v>
      </c>
      <c r="D100" s="1">
        <v>4</v>
      </c>
      <c r="E100">
        <f>Компонети!$F$32</f>
        <v>1226</v>
      </c>
      <c r="F100">
        <f t="shared" si="1"/>
        <v>4904</v>
      </c>
    </row>
    <row r="101" spans="1:27" ht="15" customHeight="1" x14ac:dyDescent="0.2">
      <c r="B101" s="11"/>
      <c r="C101" s="1">
        <v>63</v>
      </c>
      <c r="D101" s="1">
        <v>1</v>
      </c>
      <c r="E101">
        <f>Компонети!$F$35</f>
        <v>100</v>
      </c>
      <c r="F101">
        <f t="shared" si="1"/>
        <v>100</v>
      </c>
    </row>
    <row r="102" spans="1:27" ht="15" customHeight="1" x14ac:dyDescent="0.2">
      <c r="B102" s="11"/>
      <c r="C102" s="1" t="s">
        <v>52</v>
      </c>
      <c r="D102" s="1">
        <v>1</v>
      </c>
      <c r="E102">
        <f>Компонети!$F$39</f>
        <v>75</v>
      </c>
      <c r="F102">
        <f t="shared" si="1"/>
        <v>75</v>
      </c>
    </row>
    <row r="103" spans="1:27" ht="15" customHeight="1" x14ac:dyDescent="0.2">
      <c r="B103" s="11"/>
      <c r="C103" s="1" t="s">
        <v>60</v>
      </c>
      <c r="D103" s="1">
        <v>1</v>
      </c>
      <c r="E103">
        <f>Компонети!$F$43</f>
        <v>120</v>
      </c>
      <c r="F103">
        <f t="shared" si="1"/>
        <v>120</v>
      </c>
    </row>
    <row r="104" spans="1:27" ht="15" customHeight="1" x14ac:dyDescent="0.2">
      <c r="B104" s="11"/>
      <c r="C104" s="2" t="s">
        <v>64</v>
      </c>
      <c r="D104" s="1">
        <v>4</v>
      </c>
      <c r="E104">
        <f>Компонети!$F$45</f>
        <v>20</v>
      </c>
      <c r="F104">
        <f t="shared" si="1"/>
        <v>80</v>
      </c>
    </row>
    <row r="105" spans="1:27" ht="15" customHeight="1" x14ac:dyDescent="0.25">
      <c r="B105" s="11"/>
      <c r="E105" s="19" t="s">
        <v>267</v>
      </c>
      <c r="F105" s="21">
        <f>SUM(F94:F104)</f>
        <v>9860.119999999999</v>
      </c>
    </row>
    <row r="106" spans="1:27" ht="38.25" x14ac:dyDescent="0.2">
      <c r="A106" s="9" t="s">
        <v>46</v>
      </c>
      <c r="B106" s="5" t="s">
        <v>140</v>
      </c>
      <c r="C106" s="33" t="s">
        <v>141</v>
      </c>
      <c r="D106" s="10"/>
      <c r="E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" customHeight="1" x14ac:dyDescent="0.2">
      <c r="B107" s="11"/>
      <c r="C107" s="1" t="s">
        <v>27</v>
      </c>
      <c r="D107" s="1">
        <v>1</v>
      </c>
      <c r="E107">
        <f>Компонети!$F$19</f>
        <v>318</v>
      </c>
      <c r="F107">
        <f t="shared" si="1"/>
        <v>318</v>
      </c>
    </row>
    <row r="108" spans="1:27" ht="15" customHeight="1" x14ac:dyDescent="0.2">
      <c r="B108" s="11"/>
      <c r="C108" s="1" t="s">
        <v>25</v>
      </c>
      <c r="D108" s="1">
        <v>1</v>
      </c>
      <c r="E108">
        <f>Компонети!$F$14</f>
        <v>3759.6</v>
      </c>
      <c r="F108">
        <f t="shared" si="1"/>
        <v>3759.6</v>
      </c>
    </row>
    <row r="109" spans="1:27" ht="15" customHeight="1" x14ac:dyDescent="0.2">
      <c r="B109" s="11"/>
      <c r="C109" s="1" t="s">
        <v>28</v>
      </c>
      <c r="D109" s="1">
        <v>2</v>
      </c>
      <c r="E109">
        <f>Компонети!$F$20</f>
        <v>180</v>
      </c>
      <c r="F109">
        <f t="shared" si="1"/>
        <v>360</v>
      </c>
    </row>
    <row r="110" spans="1:27" ht="15" customHeight="1" x14ac:dyDescent="0.2">
      <c r="B110" s="11"/>
      <c r="C110" s="1" t="s">
        <v>30</v>
      </c>
      <c r="D110" s="1">
        <v>2</v>
      </c>
      <c r="E110">
        <f>Компонети!$F$21</f>
        <v>44.4</v>
      </c>
      <c r="F110">
        <f t="shared" si="1"/>
        <v>88.8</v>
      </c>
    </row>
    <row r="111" spans="1:27" ht="15" customHeight="1" x14ac:dyDescent="0.2">
      <c r="B111" s="11"/>
      <c r="C111" s="1" t="s">
        <v>32</v>
      </c>
      <c r="D111" s="1">
        <v>5</v>
      </c>
      <c r="E111">
        <f>Компонети!$F$22</f>
        <v>9.1199999999999992</v>
      </c>
      <c r="F111">
        <f t="shared" si="1"/>
        <v>45.599999999999994</v>
      </c>
    </row>
    <row r="112" spans="1:27" ht="15" customHeight="1" x14ac:dyDescent="0.2">
      <c r="B112" s="11"/>
      <c r="C112" s="1" t="s">
        <v>38</v>
      </c>
      <c r="D112" s="1">
        <v>2</v>
      </c>
      <c r="E112">
        <f>Компонети!$F$26</f>
        <v>9.1199999999999992</v>
      </c>
      <c r="F112">
        <f t="shared" si="1"/>
        <v>18.239999999999998</v>
      </c>
    </row>
    <row r="113" spans="1:6" ht="15" customHeight="1" x14ac:dyDescent="0.2">
      <c r="B113" s="11"/>
      <c r="C113" s="1" t="s">
        <v>404</v>
      </c>
      <c r="D113" s="1">
        <v>5</v>
      </c>
      <c r="E113">
        <f>Компонети!$F$32</f>
        <v>1226</v>
      </c>
      <c r="F113">
        <f t="shared" si="1"/>
        <v>6130</v>
      </c>
    </row>
    <row r="114" spans="1:6" ht="15" customHeight="1" x14ac:dyDescent="0.2">
      <c r="B114" s="11"/>
      <c r="C114" s="1">
        <v>63</v>
      </c>
      <c r="D114" s="1">
        <v>1</v>
      </c>
      <c r="E114">
        <f>Компонети!$F$35</f>
        <v>100</v>
      </c>
      <c r="F114">
        <f t="shared" si="1"/>
        <v>100</v>
      </c>
    </row>
    <row r="115" spans="1:6" ht="15" customHeight="1" x14ac:dyDescent="0.2">
      <c r="B115" s="11"/>
      <c r="C115" s="1" t="s">
        <v>52</v>
      </c>
      <c r="D115" s="1">
        <v>1</v>
      </c>
      <c r="E115">
        <f>Компонети!$F$39</f>
        <v>75</v>
      </c>
      <c r="F115">
        <f t="shared" si="1"/>
        <v>75</v>
      </c>
    </row>
    <row r="116" spans="1:6" ht="15" customHeight="1" x14ac:dyDescent="0.2">
      <c r="B116" s="11"/>
      <c r="C116" s="1" t="s">
        <v>62</v>
      </c>
      <c r="D116" s="1">
        <v>1</v>
      </c>
      <c r="E116">
        <f>Компонети!$F$44</f>
        <v>125</v>
      </c>
      <c r="F116">
        <f t="shared" si="1"/>
        <v>125</v>
      </c>
    </row>
    <row r="117" spans="1:6" ht="15" customHeight="1" x14ac:dyDescent="0.2">
      <c r="B117" s="11"/>
      <c r="C117" s="2" t="s">
        <v>64</v>
      </c>
      <c r="D117" s="1">
        <v>5</v>
      </c>
      <c r="E117">
        <f>Компонети!$F$45</f>
        <v>20</v>
      </c>
      <c r="F117">
        <f t="shared" si="1"/>
        <v>100</v>
      </c>
    </row>
    <row r="118" spans="1:6" ht="15" customHeight="1" x14ac:dyDescent="0.25">
      <c r="B118" s="11"/>
      <c r="E118" s="19" t="s">
        <v>267</v>
      </c>
      <c r="F118" s="21">
        <f>SUM(F107:F117)</f>
        <v>11120.240000000002</v>
      </c>
    </row>
    <row r="119" spans="1:6" ht="38.25" x14ac:dyDescent="0.2">
      <c r="A119" s="9" t="s">
        <v>46</v>
      </c>
      <c r="B119" s="5" t="s">
        <v>142</v>
      </c>
      <c r="C119" s="33" t="s">
        <v>143</v>
      </c>
      <c r="D119" s="10"/>
    </row>
    <row r="120" spans="1:6" ht="15" customHeight="1" x14ac:dyDescent="0.2">
      <c r="B120" s="11"/>
      <c r="C120" s="1" t="s">
        <v>27</v>
      </c>
      <c r="D120" s="1">
        <v>1</v>
      </c>
      <c r="E120">
        <f>Компонети!$F$19</f>
        <v>318</v>
      </c>
      <c r="F120">
        <f t="shared" si="1"/>
        <v>318</v>
      </c>
    </row>
    <row r="121" spans="1:6" ht="15" customHeight="1" x14ac:dyDescent="0.2">
      <c r="B121" s="11"/>
      <c r="C121" s="1" t="s">
        <v>25</v>
      </c>
      <c r="D121" s="1">
        <v>1</v>
      </c>
      <c r="E121">
        <f>Компонети!$F$14</f>
        <v>3759.6</v>
      </c>
      <c r="F121">
        <f t="shared" si="1"/>
        <v>3759.6</v>
      </c>
    </row>
    <row r="122" spans="1:6" ht="15" customHeight="1" x14ac:dyDescent="0.2">
      <c r="B122" s="11"/>
      <c r="C122" s="1" t="s">
        <v>28</v>
      </c>
      <c r="D122" s="1">
        <v>2</v>
      </c>
      <c r="E122">
        <f>Компонети!$F$20</f>
        <v>180</v>
      </c>
      <c r="F122">
        <f t="shared" si="1"/>
        <v>360</v>
      </c>
    </row>
    <row r="123" spans="1:6" ht="15" customHeight="1" x14ac:dyDescent="0.2">
      <c r="B123" s="11"/>
      <c r="C123" s="1" t="s">
        <v>30</v>
      </c>
      <c r="D123" s="1">
        <v>2</v>
      </c>
      <c r="E123">
        <f>Компонети!$F$21</f>
        <v>44.4</v>
      </c>
      <c r="F123">
        <f t="shared" si="1"/>
        <v>88.8</v>
      </c>
    </row>
    <row r="124" spans="1:6" ht="15" customHeight="1" x14ac:dyDescent="0.2">
      <c r="B124" s="11"/>
      <c r="C124" s="1" t="s">
        <v>32</v>
      </c>
      <c r="D124" s="1">
        <v>6</v>
      </c>
      <c r="E124">
        <f>Компонети!$F$22</f>
        <v>9.1199999999999992</v>
      </c>
      <c r="F124">
        <f t="shared" si="1"/>
        <v>54.72</v>
      </c>
    </row>
    <row r="125" spans="1:6" ht="15" customHeight="1" x14ac:dyDescent="0.2">
      <c r="B125" s="11"/>
      <c r="C125" s="1" t="s">
        <v>38</v>
      </c>
      <c r="D125" s="1">
        <v>2</v>
      </c>
      <c r="E125">
        <f>Компонети!$F$26</f>
        <v>9.1199999999999992</v>
      </c>
      <c r="F125">
        <f t="shared" si="1"/>
        <v>18.239999999999998</v>
      </c>
    </row>
    <row r="126" spans="1:6" ht="15" customHeight="1" x14ac:dyDescent="0.2">
      <c r="B126" s="11"/>
      <c r="C126" s="1" t="s">
        <v>404</v>
      </c>
      <c r="D126" s="1">
        <v>6</v>
      </c>
      <c r="E126">
        <f>Компонети!$F$32</f>
        <v>1226</v>
      </c>
      <c r="F126">
        <f t="shared" si="1"/>
        <v>7356</v>
      </c>
    </row>
    <row r="127" spans="1:6" ht="15" customHeight="1" x14ac:dyDescent="0.2">
      <c r="B127" s="11"/>
      <c r="C127" s="1">
        <v>63</v>
      </c>
      <c r="D127" s="1">
        <v>1</v>
      </c>
      <c r="E127">
        <f>Компонети!$F$35</f>
        <v>100</v>
      </c>
      <c r="F127">
        <f t="shared" si="1"/>
        <v>100</v>
      </c>
    </row>
    <row r="128" spans="1:6" ht="15" customHeight="1" x14ac:dyDescent="0.2">
      <c r="B128" s="11"/>
      <c r="C128" s="1" t="s">
        <v>52</v>
      </c>
      <c r="D128" s="1">
        <v>1</v>
      </c>
      <c r="E128">
        <f>Компонети!$F$39</f>
        <v>75</v>
      </c>
      <c r="F128">
        <f t="shared" si="1"/>
        <v>75</v>
      </c>
    </row>
    <row r="129" spans="1:27" ht="15" customHeight="1" x14ac:dyDescent="0.2">
      <c r="B129" s="11"/>
      <c r="C129" s="1" t="s">
        <v>62</v>
      </c>
      <c r="D129" s="24">
        <v>1</v>
      </c>
      <c r="E129">
        <f>Компонети!$F$44</f>
        <v>125</v>
      </c>
      <c r="F129">
        <f t="shared" si="1"/>
        <v>125</v>
      </c>
    </row>
    <row r="130" spans="1:27" ht="15" customHeight="1" x14ac:dyDescent="0.2">
      <c r="B130" s="11"/>
      <c r="C130" s="2" t="s">
        <v>64</v>
      </c>
      <c r="D130" s="1">
        <v>6</v>
      </c>
      <c r="E130">
        <f>Компонети!$F$45</f>
        <v>20</v>
      </c>
      <c r="F130">
        <f t="shared" si="1"/>
        <v>120</v>
      </c>
    </row>
    <row r="131" spans="1:27" ht="15" customHeight="1" x14ac:dyDescent="0.25">
      <c r="B131" s="11"/>
      <c r="E131" s="19" t="s">
        <v>267</v>
      </c>
      <c r="F131" s="21">
        <f>SUM(F120:F130)</f>
        <v>12375.36</v>
      </c>
    </row>
    <row r="132" spans="1:27" ht="15" customHeight="1" x14ac:dyDescent="0.2">
      <c r="B132" s="11"/>
    </row>
    <row r="133" spans="1:27" ht="15" customHeight="1" x14ac:dyDescent="0.2">
      <c r="A133" s="44" t="s">
        <v>89</v>
      </c>
      <c r="B133" s="45"/>
      <c r="C133" s="45"/>
      <c r="D133" s="45"/>
    </row>
    <row r="134" spans="1:27" ht="38.25" x14ac:dyDescent="0.2">
      <c r="A134" s="9" t="s">
        <v>46</v>
      </c>
      <c r="B134" s="5" t="s">
        <v>144</v>
      </c>
      <c r="C134" s="33" t="s">
        <v>145</v>
      </c>
      <c r="D134" s="10"/>
      <c r="E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5" customHeight="1" x14ac:dyDescent="0.2">
      <c r="B135" s="11"/>
      <c r="C135" s="1" t="s">
        <v>27</v>
      </c>
      <c r="D135" s="1">
        <v>1</v>
      </c>
      <c r="E135">
        <f>Компонети!$F$19</f>
        <v>318</v>
      </c>
      <c r="F135">
        <f t="shared" ref="F135:F195" si="2">E135*D135</f>
        <v>318</v>
      </c>
    </row>
    <row r="136" spans="1:27" ht="15" customHeight="1" x14ac:dyDescent="0.2">
      <c r="B136" s="11"/>
      <c r="C136" s="1" t="s">
        <v>19</v>
      </c>
      <c r="D136" s="1">
        <v>3</v>
      </c>
      <c r="E136">
        <f>Компонети!$F$11</f>
        <v>1429.2</v>
      </c>
      <c r="F136">
        <f t="shared" si="2"/>
        <v>4287.6000000000004</v>
      </c>
    </row>
    <row r="137" spans="1:27" ht="15" customHeight="1" x14ac:dyDescent="0.2">
      <c r="B137" s="11"/>
      <c r="C137" s="1" t="s">
        <v>28</v>
      </c>
      <c r="D137" s="1">
        <v>2</v>
      </c>
      <c r="E137">
        <f>Компонети!$F$20</f>
        <v>180</v>
      </c>
      <c r="F137">
        <f t="shared" si="2"/>
        <v>360</v>
      </c>
    </row>
    <row r="138" spans="1:27" ht="15" customHeight="1" x14ac:dyDescent="0.2">
      <c r="B138" s="11"/>
      <c r="C138" s="1" t="s">
        <v>30</v>
      </c>
      <c r="D138" s="1">
        <v>3</v>
      </c>
      <c r="E138">
        <f>Компонети!$F$21</f>
        <v>44.4</v>
      </c>
      <c r="F138">
        <f t="shared" si="2"/>
        <v>133.19999999999999</v>
      </c>
    </row>
    <row r="139" spans="1:27" ht="15" customHeight="1" x14ac:dyDescent="0.2">
      <c r="B139" s="11"/>
      <c r="C139" s="1" t="s">
        <v>32</v>
      </c>
      <c r="D139" s="1">
        <v>3</v>
      </c>
      <c r="E139">
        <f>Компонети!$F$22</f>
        <v>9.1199999999999992</v>
      </c>
      <c r="F139">
        <f t="shared" si="2"/>
        <v>27.36</v>
      </c>
    </row>
    <row r="140" spans="1:27" ht="15" customHeight="1" x14ac:dyDescent="0.2">
      <c r="B140" s="11"/>
      <c r="C140" s="1" t="s">
        <v>34</v>
      </c>
      <c r="D140" s="1">
        <v>3</v>
      </c>
      <c r="E140">
        <f>Компонети!$F$24</f>
        <v>9.1199999999999992</v>
      </c>
      <c r="F140">
        <f t="shared" si="2"/>
        <v>27.36</v>
      </c>
    </row>
    <row r="141" spans="1:27" ht="15" customHeight="1" x14ac:dyDescent="0.2">
      <c r="B141" s="11"/>
      <c r="C141" s="1" t="s">
        <v>404</v>
      </c>
      <c r="D141" s="1">
        <v>3</v>
      </c>
      <c r="E141">
        <f>Компонети!$F$32</f>
        <v>1226</v>
      </c>
      <c r="F141">
        <f t="shared" si="2"/>
        <v>3678</v>
      </c>
    </row>
    <row r="142" spans="1:27" ht="15" customHeight="1" x14ac:dyDescent="0.2">
      <c r="B142" s="11"/>
      <c r="C142" s="1">
        <v>67</v>
      </c>
      <c r="D142" s="1">
        <v>1</v>
      </c>
      <c r="E142">
        <f>Компонети!$F$37</f>
        <v>200</v>
      </c>
      <c r="F142">
        <f t="shared" si="2"/>
        <v>200</v>
      </c>
    </row>
    <row r="143" spans="1:27" ht="15" customHeight="1" x14ac:dyDescent="0.2">
      <c r="B143" s="11"/>
      <c r="C143" s="1" t="s">
        <v>54</v>
      </c>
      <c r="D143" s="1">
        <v>1</v>
      </c>
      <c r="E143">
        <f>Компонети!$F$40</f>
        <v>150</v>
      </c>
      <c r="F143">
        <f t="shared" si="2"/>
        <v>150</v>
      </c>
    </row>
    <row r="144" spans="1:27" ht="15" customHeight="1" x14ac:dyDescent="0.2">
      <c r="B144" s="11"/>
      <c r="C144" s="2" t="s">
        <v>58</v>
      </c>
      <c r="D144" s="1">
        <v>1</v>
      </c>
      <c r="E144">
        <f>Компонети!$F$42</f>
        <v>100</v>
      </c>
      <c r="F144">
        <f t="shared" si="2"/>
        <v>100</v>
      </c>
    </row>
    <row r="145" spans="1:27" ht="15" customHeight="1" x14ac:dyDescent="0.2">
      <c r="B145" s="11"/>
      <c r="C145" s="2" t="s">
        <v>64</v>
      </c>
      <c r="D145" s="1">
        <v>3</v>
      </c>
      <c r="E145">
        <f>Компонети!$F$45</f>
        <v>20</v>
      </c>
      <c r="F145">
        <f t="shared" si="2"/>
        <v>60</v>
      </c>
    </row>
    <row r="146" spans="1:27" ht="15" customHeight="1" x14ac:dyDescent="0.25">
      <c r="B146" s="11"/>
      <c r="E146" s="19" t="s">
        <v>267</v>
      </c>
      <c r="F146" s="21">
        <f>SUM(F135:F145)</f>
        <v>9341.52</v>
      </c>
    </row>
    <row r="147" spans="1:27" ht="38.25" x14ac:dyDescent="0.2">
      <c r="A147" s="9" t="s">
        <v>46</v>
      </c>
      <c r="B147" s="5" t="s">
        <v>146</v>
      </c>
      <c r="C147" s="33" t="s">
        <v>147</v>
      </c>
      <c r="D147" s="10"/>
      <c r="E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5" customHeight="1" x14ac:dyDescent="0.2">
      <c r="B148" s="11"/>
      <c r="C148" s="1" t="s">
        <v>27</v>
      </c>
      <c r="D148" s="1">
        <v>1</v>
      </c>
      <c r="E148">
        <f>Компонети!$F$19</f>
        <v>318</v>
      </c>
      <c r="F148">
        <f t="shared" si="2"/>
        <v>318</v>
      </c>
    </row>
    <row r="149" spans="1:27" ht="15" customHeight="1" x14ac:dyDescent="0.2">
      <c r="B149" s="11"/>
      <c r="C149" s="1" t="s">
        <v>19</v>
      </c>
      <c r="D149" s="1">
        <v>3</v>
      </c>
      <c r="E149">
        <f>Компонети!$F$11</f>
        <v>1429.2</v>
      </c>
      <c r="F149">
        <f t="shared" si="2"/>
        <v>4287.6000000000004</v>
      </c>
    </row>
    <row r="150" spans="1:27" ht="15" customHeight="1" x14ac:dyDescent="0.2">
      <c r="B150" s="11"/>
      <c r="C150" s="1" t="s">
        <v>28</v>
      </c>
      <c r="D150" s="1">
        <v>2</v>
      </c>
      <c r="E150">
        <f>Компонети!$F$20</f>
        <v>180</v>
      </c>
      <c r="F150">
        <f t="shared" si="2"/>
        <v>360</v>
      </c>
    </row>
    <row r="151" spans="1:27" ht="15" customHeight="1" x14ac:dyDescent="0.2">
      <c r="B151" s="11"/>
      <c r="C151" s="1" t="s">
        <v>30</v>
      </c>
      <c r="D151" s="1">
        <v>3</v>
      </c>
      <c r="E151">
        <f>Компонети!$F$21</f>
        <v>44.4</v>
      </c>
      <c r="F151">
        <f t="shared" si="2"/>
        <v>133.19999999999999</v>
      </c>
    </row>
    <row r="152" spans="1:27" ht="15" customHeight="1" x14ac:dyDescent="0.2">
      <c r="B152" s="11"/>
      <c r="C152" s="1" t="s">
        <v>32</v>
      </c>
      <c r="D152" s="1">
        <v>4</v>
      </c>
      <c r="E152">
        <f>Компонети!$F$22</f>
        <v>9.1199999999999992</v>
      </c>
      <c r="F152">
        <f t="shared" si="2"/>
        <v>36.479999999999997</v>
      </c>
    </row>
    <row r="153" spans="1:27" ht="15" customHeight="1" x14ac:dyDescent="0.2">
      <c r="B153" s="11"/>
      <c r="C153" s="1" t="s">
        <v>34</v>
      </c>
      <c r="D153" s="1">
        <v>3</v>
      </c>
      <c r="E153">
        <f>Компонети!$F$24</f>
        <v>9.1199999999999992</v>
      </c>
      <c r="F153">
        <f t="shared" si="2"/>
        <v>27.36</v>
      </c>
    </row>
    <row r="154" spans="1:27" ht="15" customHeight="1" x14ac:dyDescent="0.2">
      <c r="B154" s="11"/>
      <c r="C154" s="1" t="s">
        <v>404</v>
      </c>
      <c r="D154" s="1">
        <v>4</v>
      </c>
      <c r="E154">
        <f>Компонети!$F$32</f>
        <v>1226</v>
      </c>
      <c r="F154">
        <f t="shared" si="2"/>
        <v>4904</v>
      </c>
    </row>
    <row r="155" spans="1:27" ht="15" customHeight="1" x14ac:dyDescent="0.2">
      <c r="B155" s="11"/>
      <c r="C155" s="1">
        <v>67</v>
      </c>
      <c r="D155" s="1">
        <v>1</v>
      </c>
      <c r="E155">
        <f>Компонети!$F$37</f>
        <v>200</v>
      </c>
      <c r="F155">
        <f t="shared" si="2"/>
        <v>200</v>
      </c>
    </row>
    <row r="156" spans="1:27" ht="15" customHeight="1" x14ac:dyDescent="0.2">
      <c r="B156" s="11"/>
      <c r="C156" s="1" t="s">
        <v>54</v>
      </c>
      <c r="D156" s="1">
        <v>1</v>
      </c>
      <c r="E156">
        <f>Компонети!$F$40</f>
        <v>150</v>
      </c>
      <c r="F156">
        <f t="shared" si="2"/>
        <v>150</v>
      </c>
    </row>
    <row r="157" spans="1:27" ht="15" customHeight="1" x14ac:dyDescent="0.2">
      <c r="B157" s="11"/>
      <c r="C157" s="1" t="s">
        <v>60</v>
      </c>
      <c r="D157" s="1">
        <v>1</v>
      </c>
      <c r="E157">
        <f>Компонети!$F$43</f>
        <v>120</v>
      </c>
      <c r="F157">
        <f t="shared" si="2"/>
        <v>120</v>
      </c>
    </row>
    <row r="158" spans="1:27" ht="15" customHeight="1" x14ac:dyDescent="0.2">
      <c r="B158" s="11"/>
      <c r="C158" s="2" t="s">
        <v>64</v>
      </c>
      <c r="D158" s="1">
        <v>4</v>
      </c>
      <c r="E158">
        <f>Компонети!$F$45</f>
        <v>20</v>
      </c>
      <c r="F158">
        <f t="shared" si="2"/>
        <v>80</v>
      </c>
    </row>
    <row r="159" spans="1:27" ht="15" customHeight="1" x14ac:dyDescent="0.25">
      <c r="B159" s="11"/>
      <c r="E159" s="19" t="s">
        <v>267</v>
      </c>
      <c r="F159" s="21">
        <f>SUM(F148:F158)</f>
        <v>10616.64</v>
      </c>
    </row>
    <row r="160" spans="1:27" ht="38.25" x14ac:dyDescent="0.2">
      <c r="A160" s="9" t="s">
        <v>46</v>
      </c>
      <c r="B160" s="5" t="s">
        <v>148</v>
      </c>
      <c r="C160" s="33" t="s">
        <v>149</v>
      </c>
      <c r="D160" s="10"/>
      <c r="E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5" customHeight="1" x14ac:dyDescent="0.2">
      <c r="B161" s="11"/>
      <c r="C161" s="1" t="s">
        <v>27</v>
      </c>
      <c r="D161" s="1">
        <v>1</v>
      </c>
      <c r="E161">
        <f>Компонети!$F$19</f>
        <v>318</v>
      </c>
      <c r="F161">
        <f t="shared" si="2"/>
        <v>318</v>
      </c>
    </row>
    <row r="162" spans="1:27" ht="15" customHeight="1" x14ac:dyDescent="0.2">
      <c r="B162" s="11"/>
      <c r="C162" s="1" t="s">
        <v>19</v>
      </c>
      <c r="D162" s="1">
        <v>3</v>
      </c>
      <c r="E162">
        <f>Компонети!$F$11</f>
        <v>1429.2</v>
      </c>
      <c r="F162">
        <f t="shared" si="2"/>
        <v>4287.6000000000004</v>
      </c>
    </row>
    <row r="163" spans="1:27" ht="15" customHeight="1" x14ac:dyDescent="0.2">
      <c r="B163" s="11"/>
      <c r="C163" s="1" t="s">
        <v>28</v>
      </c>
      <c r="D163" s="1">
        <v>2</v>
      </c>
      <c r="E163">
        <f>Компонети!$F$20</f>
        <v>180</v>
      </c>
      <c r="F163">
        <f t="shared" si="2"/>
        <v>360</v>
      </c>
    </row>
    <row r="164" spans="1:27" ht="15" customHeight="1" x14ac:dyDescent="0.2">
      <c r="B164" s="11"/>
      <c r="C164" s="1" t="s">
        <v>30</v>
      </c>
      <c r="D164" s="1">
        <v>3</v>
      </c>
      <c r="E164">
        <f>Компонети!$F$21</f>
        <v>44.4</v>
      </c>
      <c r="F164">
        <f t="shared" si="2"/>
        <v>133.19999999999999</v>
      </c>
    </row>
    <row r="165" spans="1:27" ht="15" customHeight="1" x14ac:dyDescent="0.2">
      <c r="B165" s="11"/>
      <c r="C165" s="1" t="s">
        <v>32</v>
      </c>
      <c r="D165" s="1">
        <v>5</v>
      </c>
      <c r="E165">
        <f>Компонети!$F$22</f>
        <v>9.1199999999999992</v>
      </c>
      <c r="F165">
        <f t="shared" si="2"/>
        <v>45.599999999999994</v>
      </c>
    </row>
    <row r="166" spans="1:27" ht="15" customHeight="1" x14ac:dyDescent="0.2">
      <c r="B166" s="11"/>
      <c r="C166" s="1" t="s">
        <v>34</v>
      </c>
      <c r="D166" s="1">
        <v>3</v>
      </c>
      <c r="E166">
        <f>Компонети!$F$24</f>
        <v>9.1199999999999992</v>
      </c>
      <c r="F166">
        <f t="shared" si="2"/>
        <v>27.36</v>
      </c>
    </row>
    <row r="167" spans="1:27" ht="15" customHeight="1" x14ac:dyDescent="0.2">
      <c r="B167" s="11"/>
      <c r="C167" s="1" t="s">
        <v>404</v>
      </c>
      <c r="D167" s="1">
        <v>5</v>
      </c>
      <c r="E167">
        <f>Компонети!$F$32</f>
        <v>1226</v>
      </c>
      <c r="F167">
        <f t="shared" si="2"/>
        <v>6130</v>
      </c>
    </row>
    <row r="168" spans="1:27" ht="15" customHeight="1" x14ac:dyDescent="0.2">
      <c r="B168" s="11"/>
      <c r="C168" s="1">
        <v>67</v>
      </c>
      <c r="D168" s="1">
        <v>1</v>
      </c>
      <c r="E168">
        <f>Компонети!$F$37</f>
        <v>200</v>
      </c>
      <c r="F168">
        <f t="shared" si="2"/>
        <v>200</v>
      </c>
    </row>
    <row r="169" spans="1:27" ht="15" customHeight="1" x14ac:dyDescent="0.2">
      <c r="B169" s="11"/>
      <c r="C169" s="1" t="s">
        <v>54</v>
      </c>
      <c r="D169" s="1">
        <v>1</v>
      </c>
      <c r="E169">
        <f>Компонети!$F$40</f>
        <v>150</v>
      </c>
      <c r="F169">
        <f t="shared" si="2"/>
        <v>150</v>
      </c>
    </row>
    <row r="170" spans="1:27" ht="15" customHeight="1" x14ac:dyDescent="0.2">
      <c r="B170" s="11"/>
      <c r="C170" s="1" t="s">
        <v>62</v>
      </c>
      <c r="D170" s="1">
        <v>1</v>
      </c>
      <c r="E170">
        <f>Компонети!$F$44</f>
        <v>125</v>
      </c>
      <c r="F170">
        <f t="shared" si="2"/>
        <v>125</v>
      </c>
    </row>
    <row r="171" spans="1:27" ht="15" customHeight="1" x14ac:dyDescent="0.2">
      <c r="B171" s="11"/>
      <c r="C171" s="2" t="s">
        <v>64</v>
      </c>
      <c r="D171" s="1">
        <v>5</v>
      </c>
      <c r="E171">
        <f>Компонети!$F$45</f>
        <v>20</v>
      </c>
      <c r="F171">
        <f t="shared" si="2"/>
        <v>100</v>
      </c>
    </row>
    <row r="172" spans="1:27" ht="15" customHeight="1" x14ac:dyDescent="0.25">
      <c r="A172" s="4"/>
      <c r="B172" s="14"/>
      <c r="C172" s="4"/>
      <c r="D172" s="3"/>
      <c r="E172" s="19" t="s">
        <v>267</v>
      </c>
      <c r="F172" s="21">
        <f>SUM(F161:F171)</f>
        <v>11876.76</v>
      </c>
    </row>
    <row r="173" spans="1:27" ht="38.25" x14ac:dyDescent="0.2">
      <c r="A173" s="9" t="s">
        <v>46</v>
      </c>
      <c r="B173" s="5" t="s">
        <v>150</v>
      </c>
      <c r="C173" s="33" t="s">
        <v>392</v>
      </c>
      <c r="D173" s="10"/>
      <c r="E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5" customHeight="1" x14ac:dyDescent="0.2">
      <c r="B174" s="11"/>
      <c r="C174" s="1" t="s">
        <v>27</v>
      </c>
      <c r="D174" s="1">
        <v>1</v>
      </c>
      <c r="E174">
        <f>Компонети!$F$19</f>
        <v>318</v>
      </c>
      <c r="F174">
        <f t="shared" si="2"/>
        <v>318</v>
      </c>
    </row>
    <row r="175" spans="1:27" ht="15" customHeight="1" x14ac:dyDescent="0.2">
      <c r="B175" s="11"/>
      <c r="C175" s="1" t="s">
        <v>21</v>
      </c>
      <c r="D175" s="1">
        <v>3</v>
      </c>
      <c r="E175">
        <f>Компонети!$F$12</f>
        <v>2395.1999999999998</v>
      </c>
      <c r="F175">
        <f t="shared" si="2"/>
        <v>7185.5999999999995</v>
      </c>
    </row>
    <row r="176" spans="1:27" ht="15" customHeight="1" x14ac:dyDescent="0.2">
      <c r="B176" s="11"/>
      <c r="C176" s="1" t="s">
        <v>28</v>
      </c>
      <c r="D176" s="1">
        <v>2</v>
      </c>
      <c r="E176">
        <f>Компонети!$F$20</f>
        <v>180</v>
      </c>
      <c r="F176">
        <f t="shared" si="2"/>
        <v>360</v>
      </c>
    </row>
    <row r="177" spans="1:27" ht="15" customHeight="1" x14ac:dyDescent="0.2">
      <c r="B177" s="11"/>
      <c r="C177" s="1" t="s">
        <v>30</v>
      </c>
      <c r="D177" s="1">
        <v>3</v>
      </c>
      <c r="E177">
        <f>Компонети!$F$21</f>
        <v>44.4</v>
      </c>
      <c r="F177">
        <f t="shared" si="2"/>
        <v>133.19999999999999</v>
      </c>
    </row>
    <row r="178" spans="1:27" ht="15" customHeight="1" x14ac:dyDescent="0.2">
      <c r="B178" s="11"/>
      <c r="C178" s="1" t="s">
        <v>32</v>
      </c>
      <c r="D178" s="1">
        <v>5</v>
      </c>
      <c r="E178">
        <f>Компонети!$F$22</f>
        <v>9.1199999999999992</v>
      </c>
      <c r="F178">
        <f t="shared" si="2"/>
        <v>45.599999999999994</v>
      </c>
    </row>
    <row r="179" spans="1:27" ht="15" customHeight="1" x14ac:dyDescent="0.2">
      <c r="B179" s="11"/>
      <c r="C179" s="1" t="s">
        <v>38</v>
      </c>
      <c r="D179" s="1">
        <v>3</v>
      </c>
      <c r="E179">
        <f>Компонети!$F$26</f>
        <v>9.1199999999999992</v>
      </c>
      <c r="F179">
        <f t="shared" si="2"/>
        <v>27.36</v>
      </c>
    </row>
    <row r="180" spans="1:27" ht="15" customHeight="1" x14ac:dyDescent="0.2">
      <c r="B180" s="11"/>
      <c r="C180" s="1" t="s">
        <v>404</v>
      </c>
      <c r="D180" s="1">
        <v>5</v>
      </c>
      <c r="E180">
        <f>Компонети!$F$32</f>
        <v>1226</v>
      </c>
      <c r="F180">
        <f t="shared" si="2"/>
        <v>6130</v>
      </c>
    </row>
    <row r="181" spans="1:27" ht="15" customHeight="1" x14ac:dyDescent="0.2">
      <c r="B181" s="11"/>
      <c r="C181" s="1">
        <v>67</v>
      </c>
      <c r="D181" s="1">
        <v>1</v>
      </c>
      <c r="E181">
        <f>Компонети!$F$37</f>
        <v>200</v>
      </c>
      <c r="F181">
        <f t="shared" si="2"/>
        <v>200</v>
      </c>
    </row>
    <row r="182" spans="1:27" ht="15" customHeight="1" x14ac:dyDescent="0.2">
      <c r="B182" s="11"/>
      <c r="C182" s="1" t="s">
        <v>56</v>
      </c>
      <c r="D182" s="1">
        <v>1</v>
      </c>
      <c r="E182">
        <f>Компонети!$F$41</f>
        <v>250</v>
      </c>
      <c r="F182">
        <f t="shared" si="2"/>
        <v>250</v>
      </c>
    </row>
    <row r="183" spans="1:27" ht="15" customHeight="1" x14ac:dyDescent="0.2">
      <c r="B183" s="11"/>
      <c r="C183" s="1" t="s">
        <v>62</v>
      </c>
      <c r="D183" s="1">
        <v>1</v>
      </c>
      <c r="E183">
        <f>Компонети!$F$44</f>
        <v>125</v>
      </c>
      <c r="F183">
        <f t="shared" si="2"/>
        <v>125</v>
      </c>
    </row>
    <row r="184" spans="1:27" ht="15" customHeight="1" x14ac:dyDescent="0.2">
      <c r="B184" s="11"/>
      <c r="C184" s="2" t="s">
        <v>64</v>
      </c>
      <c r="D184" s="1">
        <v>5</v>
      </c>
      <c r="E184">
        <f>Компонети!$F$45</f>
        <v>20</v>
      </c>
      <c r="F184">
        <f t="shared" si="2"/>
        <v>100</v>
      </c>
    </row>
    <row r="185" spans="1:27" ht="15" customHeight="1" x14ac:dyDescent="0.25">
      <c r="B185" s="11"/>
      <c r="E185" s="19" t="s">
        <v>267</v>
      </c>
      <c r="F185" s="21">
        <f>SUM(F174:F184)</f>
        <v>14874.759999999998</v>
      </c>
    </row>
    <row r="186" spans="1:27" ht="38.25" x14ac:dyDescent="0.2">
      <c r="A186" s="9" t="s">
        <v>46</v>
      </c>
      <c r="B186" s="5" t="s">
        <v>151</v>
      </c>
      <c r="C186" s="33" t="s">
        <v>393</v>
      </c>
      <c r="D186" s="10"/>
      <c r="E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5" customHeight="1" x14ac:dyDescent="0.2">
      <c r="B187" s="11"/>
      <c r="C187" s="1" t="s">
        <v>27</v>
      </c>
      <c r="D187" s="1">
        <v>1</v>
      </c>
      <c r="E187">
        <f>Компонети!$F$19</f>
        <v>318</v>
      </c>
      <c r="F187">
        <f t="shared" si="2"/>
        <v>318</v>
      </c>
    </row>
    <row r="188" spans="1:27" ht="15" customHeight="1" x14ac:dyDescent="0.2">
      <c r="B188" s="11"/>
      <c r="C188" s="1" t="s">
        <v>21</v>
      </c>
      <c r="D188" s="1">
        <v>3</v>
      </c>
      <c r="E188">
        <f>Компонети!$F$12</f>
        <v>2395.1999999999998</v>
      </c>
      <c r="F188">
        <f t="shared" si="2"/>
        <v>7185.5999999999995</v>
      </c>
    </row>
    <row r="189" spans="1:27" ht="15" customHeight="1" x14ac:dyDescent="0.2">
      <c r="B189" s="11"/>
      <c r="C189" s="1" t="s">
        <v>28</v>
      </c>
      <c r="D189" s="1">
        <v>3</v>
      </c>
      <c r="E189">
        <f>Компонети!$F$20</f>
        <v>180</v>
      </c>
      <c r="F189">
        <f t="shared" si="2"/>
        <v>540</v>
      </c>
    </row>
    <row r="190" spans="1:27" ht="15" customHeight="1" x14ac:dyDescent="0.2">
      <c r="B190" s="11"/>
      <c r="C190" s="1" t="s">
        <v>30</v>
      </c>
      <c r="D190" s="1">
        <v>3</v>
      </c>
      <c r="E190">
        <f>Компонети!$F$21</f>
        <v>44.4</v>
      </c>
      <c r="F190">
        <f t="shared" si="2"/>
        <v>133.19999999999999</v>
      </c>
    </row>
    <row r="191" spans="1:27" ht="15" customHeight="1" x14ac:dyDescent="0.2">
      <c r="B191" s="11"/>
      <c r="C191" s="1" t="s">
        <v>32</v>
      </c>
      <c r="D191" s="1">
        <v>6</v>
      </c>
      <c r="E191">
        <f>Компонети!$F$22</f>
        <v>9.1199999999999992</v>
      </c>
      <c r="F191">
        <f t="shared" si="2"/>
        <v>54.72</v>
      </c>
    </row>
    <row r="192" spans="1:27" ht="15" customHeight="1" x14ac:dyDescent="0.2">
      <c r="B192" s="11"/>
      <c r="C192" s="1" t="s">
        <v>38</v>
      </c>
      <c r="D192" s="1">
        <v>3</v>
      </c>
      <c r="E192">
        <f>Компонети!$F$26</f>
        <v>9.1199999999999992</v>
      </c>
      <c r="F192">
        <f t="shared" si="2"/>
        <v>27.36</v>
      </c>
    </row>
    <row r="193" spans="1:27" ht="15" customHeight="1" x14ac:dyDescent="0.2">
      <c r="B193" s="11"/>
      <c r="C193" s="1" t="s">
        <v>404</v>
      </c>
      <c r="D193" s="1">
        <v>6</v>
      </c>
      <c r="E193">
        <f>Компонети!$F$32</f>
        <v>1226</v>
      </c>
      <c r="F193">
        <f t="shared" si="2"/>
        <v>7356</v>
      </c>
    </row>
    <row r="194" spans="1:27" ht="15" customHeight="1" x14ac:dyDescent="0.2">
      <c r="B194" s="11"/>
      <c r="C194" s="1">
        <v>67</v>
      </c>
      <c r="D194" s="1">
        <v>1</v>
      </c>
      <c r="E194">
        <f>Компонети!$F$37</f>
        <v>200</v>
      </c>
      <c r="F194">
        <f t="shared" si="2"/>
        <v>200</v>
      </c>
    </row>
    <row r="195" spans="1:27" ht="15" customHeight="1" x14ac:dyDescent="0.2">
      <c r="B195" s="11"/>
      <c r="C195" s="1" t="s">
        <v>56</v>
      </c>
      <c r="D195" s="1">
        <v>1</v>
      </c>
      <c r="E195">
        <f>Компонети!$F$41</f>
        <v>250</v>
      </c>
      <c r="F195">
        <f t="shared" si="2"/>
        <v>250</v>
      </c>
    </row>
    <row r="196" spans="1:27" ht="15" customHeight="1" x14ac:dyDescent="0.2">
      <c r="B196" s="11"/>
      <c r="C196" s="1" t="s">
        <v>62</v>
      </c>
      <c r="D196" s="1">
        <v>1</v>
      </c>
      <c r="E196">
        <f>Компонети!$F$44</f>
        <v>125</v>
      </c>
      <c r="F196">
        <f t="shared" ref="F196:F259" si="3">E196*D196</f>
        <v>125</v>
      </c>
    </row>
    <row r="197" spans="1:27" ht="15" customHeight="1" x14ac:dyDescent="0.2">
      <c r="B197" s="11"/>
      <c r="C197" s="2" t="s">
        <v>64</v>
      </c>
      <c r="D197" s="1">
        <v>6</v>
      </c>
      <c r="E197">
        <f>Компонети!$F$45</f>
        <v>20</v>
      </c>
      <c r="F197">
        <f t="shared" si="3"/>
        <v>120</v>
      </c>
    </row>
    <row r="198" spans="1:27" ht="15" customHeight="1" x14ac:dyDescent="0.25">
      <c r="B198" s="11"/>
      <c r="E198" s="19" t="s">
        <v>267</v>
      </c>
      <c r="F198" s="21">
        <f>SUM(F187:F197)</f>
        <v>16309.88</v>
      </c>
    </row>
    <row r="199" spans="1:27" ht="38.25" x14ac:dyDescent="0.2">
      <c r="A199" s="9" t="s">
        <v>46</v>
      </c>
      <c r="B199" s="5" t="s">
        <v>152</v>
      </c>
      <c r="C199" s="33" t="s">
        <v>394</v>
      </c>
      <c r="D199" s="10"/>
      <c r="E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5" customHeight="1" x14ac:dyDescent="0.2">
      <c r="B200" s="11"/>
      <c r="C200" s="1" t="s">
        <v>27</v>
      </c>
      <c r="D200" s="1">
        <v>1</v>
      </c>
      <c r="E200">
        <f>Компонети!$F$19</f>
        <v>318</v>
      </c>
      <c r="F200">
        <f t="shared" si="3"/>
        <v>318</v>
      </c>
    </row>
    <row r="201" spans="1:27" ht="15" customHeight="1" x14ac:dyDescent="0.2">
      <c r="B201" s="11"/>
      <c r="C201" s="1" t="s">
        <v>21</v>
      </c>
      <c r="D201" s="1">
        <v>3</v>
      </c>
      <c r="E201">
        <f>Компонети!$F$12</f>
        <v>2395.1999999999998</v>
      </c>
      <c r="F201">
        <f t="shared" si="3"/>
        <v>7185.5999999999995</v>
      </c>
    </row>
    <row r="202" spans="1:27" ht="15" customHeight="1" x14ac:dyDescent="0.2">
      <c r="B202" s="11"/>
      <c r="C202" s="1" t="s">
        <v>28</v>
      </c>
      <c r="D202" s="1">
        <v>3</v>
      </c>
      <c r="E202">
        <f>Компонети!$F$20</f>
        <v>180</v>
      </c>
      <c r="F202">
        <f t="shared" si="3"/>
        <v>540</v>
      </c>
    </row>
    <row r="203" spans="1:27" ht="15" customHeight="1" x14ac:dyDescent="0.2">
      <c r="B203" s="11"/>
      <c r="C203" s="1" t="s">
        <v>30</v>
      </c>
      <c r="D203" s="1">
        <v>3</v>
      </c>
      <c r="E203">
        <f>Компонети!$F$21</f>
        <v>44.4</v>
      </c>
      <c r="F203">
        <f t="shared" si="3"/>
        <v>133.19999999999999</v>
      </c>
    </row>
    <row r="204" spans="1:27" ht="15" customHeight="1" x14ac:dyDescent="0.2">
      <c r="B204" s="11"/>
      <c r="C204" s="1" t="s">
        <v>32</v>
      </c>
      <c r="D204" s="1">
        <v>8</v>
      </c>
      <c r="E204">
        <f>Компонети!$F$22</f>
        <v>9.1199999999999992</v>
      </c>
      <c r="F204">
        <f t="shared" si="3"/>
        <v>72.959999999999994</v>
      </c>
    </row>
    <row r="205" spans="1:27" ht="15" customHeight="1" x14ac:dyDescent="0.2">
      <c r="B205" s="11"/>
      <c r="C205" s="1" t="s">
        <v>38</v>
      </c>
      <c r="D205" s="1">
        <v>3</v>
      </c>
      <c r="E205">
        <f>Компонети!$F$26</f>
        <v>9.1199999999999992</v>
      </c>
      <c r="F205">
        <f t="shared" si="3"/>
        <v>27.36</v>
      </c>
    </row>
    <row r="206" spans="1:27" ht="15" customHeight="1" x14ac:dyDescent="0.2">
      <c r="B206" s="11"/>
      <c r="C206" s="1" t="s">
        <v>404</v>
      </c>
      <c r="D206" s="1">
        <v>8</v>
      </c>
      <c r="E206">
        <f>Компонети!$F$32</f>
        <v>1226</v>
      </c>
      <c r="F206">
        <f t="shared" si="3"/>
        <v>9808</v>
      </c>
    </row>
    <row r="207" spans="1:27" ht="15" customHeight="1" x14ac:dyDescent="0.2">
      <c r="B207" s="11"/>
      <c r="C207" s="1">
        <v>67</v>
      </c>
      <c r="D207" s="1">
        <v>1</v>
      </c>
      <c r="E207">
        <f>Компонети!$F$37</f>
        <v>200</v>
      </c>
      <c r="F207">
        <f t="shared" si="3"/>
        <v>200</v>
      </c>
    </row>
    <row r="208" spans="1:27" ht="15" customHeight="1" x14ac:dyDescent="0.2">
      <c r="B208" s="11"/>
      <c r="C208" s="1" t="s">
        <v>56</v>
      </c>
      <c r="D208" s="1">
        <v>1</v>
      </c>
      <c r="E208">
        <f>Компонети!$F$41</f>
        <v>250</v>
      </c>
      <c r="F208">
        <f t="shared" si="3"/>
        <v>250</v>
      </c>
    </row>
    <row r="209" spans="1:27" ht="15" customHeight="1" x14ac:dyDescent="0.2">
      <c r="B209" s="11"/>
      <c r="C209" s="1" t="s">
        <v>60</v>
      </c>
      <c r="D209" s="1">
        <v>2</v>
      </c>
      <c r="E209">
        <f>Компонети!$F$43</f>
        <v>120</v>
      </c>
      <c r="F209">
        <f t="shared" si="3"/>
        <v>240</v>
      </c>
    </row>
    <row r="210" spans="1:27" ht="15" customHeight="1" x14ac:dyDescent="0.2">
      <c r="B210" s="11"/>
      <c r="C210" s="2" t="s">
        <v>64</v>
      </c>
      <c r="D210" s="1">
        <v>8</v>
      </c>
      <c r="E210">
        <f>Компонети!$F$45</f>
        <v>20</v>
      </c>
      <c r="F210">
        <f t="shared" si="3"/>
        <v>160</v>
      </c>
    </row>
    <row r="211" spans="1:27" ht="15" customHeight="1" x14ac:dyDescent="0.25">
      <c r="B211" s="11"/>
      <c r="E211" s="19" t="s">
        <v>267</v>
      </c>
      <c r="F211" s="21">
        <f>SUM(F200:F210)</f>
        <v>18935.12</v>
      </c>
    </row>
    <row r="212" spans="1:27" ht="38.25" x14ac:dyDescent="0.2">
      <c r="A212" s="9" t="s">
        <v>46</v>
      </c>
      <c r="B212" s="5" t="s">
        <v>153</v>
      </c>
      <c r="C212" s="33" t="s">
        <v>395</v>
      </c>
      <c r="D212" s="10"/>
      <c r="E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5" customHeight="1" x14ac:dyDescent="0.2">
      <c r="B213" s="11"/>
      <c r="C213" s="1" t="s">
        <v>27</v>
      </c>
      <c r="D213" s="1">
        <v>1</v>
      </c>
      <c r="E213">
        <f>Компонети!$F$19</f>
        <v>318</v>
      </c>
      <c r="F213">
        <f t="shared" si="3"/>
        <v>318</v>
      </c>
    </row>
    <row r="214" spans="1:27" ht="15" customHeight="1" x14ac:dyDescent="0.2">
      <c r="B214" s="11"/>
      <c r="C214" s="1" t="s">
        <v>23</v>
      </c>
      <c r="D214" s="1">
        <v>3</v>
      </c>
      <c r="E214">
        <f>Компонети!$F$13</f>
        <v>2862</v>
      </c>
      <c r="F214">
        <f t="shared" si="3"/>
        <v>8586</v>
      </c>
    </row>
    <row r="215" spans="1:27" ht="15" customHeight="1" x14ac:dyDescent="0.2">
      <c r="B215" s="11"/>
      <c r="C215" s="1" t="s">
        <v>28</v>
      </c>
      <c r="D215" s="1">
        <v>4</v>
      </c>
      <c r="E215">
        <f>Компонети!$F$20</f>
        <v>180</v>
      </c>
      <c r="F215">
        <f t="shared" si="3"/>
        <v>720</v>
      </c>
    </row>
    <row r="216" spans="1:27" ht="15" customHeight="1" x14ac:dyDescent="0.2">
      <c r="B216" s="11"/>
      <c r="C216" s="1" t="s">
        <v>30</v>
      </c>
      <c r="D216" s="1">
        <v>6</v>
      </c>
      <c r="E216">
        <f>Компонети!$F$21</f>
        <v>44.4</v>
      </c>
      <c r="F216">
        <f t="shared" si="3"/>
        <v>266.39999999999998</v>
      </c>
    </row>
    <row r="217" spans="1:27" ht="15" customHeight="1" x14ac:dyDescent="0.2">
      <c r="B217" s="11"/>
      <c r="C217" s="1" t="s">
        <v>32</v>
      </c>
      <c r="D217" s="1">
        <v>8</v>
      </c>
      <c r="E217">
        <f>Компонети!$F$22</f>
        <v>9.1199999999999992</v>
      </c>
      <c r="F217">
        <f t="shared" si="3"/>
        <v>72.959999999999994</v>
      </c>
    </row>
    <row r="218" spans="1:27" ht="15" customHeight="1" x14ac:dyDescent="0.2">
      <c r="B218" s="11"/>
      <c r="C218" s="1" t="s">
        <v>34</v>
      </c>
      <c r="D218" s="1">
        <v>6</v>
      </c>
      <c r="E218">
        <f>Компонети!$F$24</f>
        <v>9.1199999999999992</v>
      </c>
      <c r="F218">
        <f t="shared" si="3"/>
        <v>54.72</v>
      </c>
    </row>
    <row r="219" spans="1:27" ht="15" customHeight="1" x14ac:dyDescent="0.2">
      <c r="B219" s="11"/>
      <c r="C219" s="1" t="s">
        <v>404</v>
      </c>
      <c r="D219" s="1">
        <v>8</v>
      </c>
      <c r="E219">
        <f>Компонети!$F$32</f>
        <v>1226</v>
      </c>
      <c r="F219">
        <f t="shared" si="3"/>
        <v>9808</v>
      </c>
    </row>
    <row r="220" spans="1:27" ht="15" customHeight="1" x14ac:dyDescent="0.2">
      <c r="B220" s="11"/>
      <c r="C220" s="1">
        <v>67</v>
      </c>
      <c r="D220" s="1">
        <v>1</v>
      </c>
      <c r="E220">
        <f>Компонети!$F$37</f>
        <v>200</v>
      </c>
      <c r="F220">
        <f t="shared" si="3"/>
        <v>200</v>
      </c>
    </row>
    <row r="221" spans="1:27" ht="15" customHeight="1" x14ac:dyDescent="0.2">
      <c r="B221" s="11"/>
      <c r="C221" s="1" t="s">
        <v>56</v>
      </c>
      <c r="D221" s="1">
        <v>1</v>
      </c>
      <c r="E221">
        <f>Компонети!$F$41</f>
        <v>250</v>
      </c>
      <c r="F221">
        <f t="shared" si="3"/>
        <v>250</v>
      </c>
    </row>
    <row r="222" spans="1:27" ht="15" customHeight="1" x14ac:dyDescent="0.2">
      <c r="B222" s="11"/>
      <c r="C222" s="1" t="s">
        <v>60</v>
      </c>
      <c r="D222" s="1">
        <v>2</v>
      </c>
      <c r="E222">
        <f>Компонети!$F$43</f>
        <v>120</v>
      </c>
      <c r="F222">
        <f t="shared" si="3"/>
        <v>240</v>
      </c>
    </row>
    <row r="223" spans="1:27" ht="15" customHeight="1" x14ac:dyDescent="0.2">
      <c r="B223" s="11"/>
      <c r="C223" s="2" t="s">
        <v>64</v>
      </c>
      <c r="D223" s="1">
        <v>8</v>
      </c>
      <c r="E223">
        <f>Компонети!$F$45</f>
        <v>20</v>
      </c>
      <c r="F223">
        <f t="shared" si="3"/>
        <v>160</v>
      </c>
    </row>
    <row r="224" spans="1:27" ht="15" customHeight="1" x14ac:dyDescent="0.25">
      <c r="B224" s="11"/>
      <c r="E224" s="19" t="s">
        <v>267</v>
      </c>
      <c r="F224" s="21">
        <f>SUM(F213:F223)</f>
        <v>20676.079999999998</v>
      </c>
    </row>
    <row r="225" spans="1:27" ht="38.25" x14ac:dyDescent="0.2">
      <c r="A225" s="9" t="s">
        <v>46</v>
      </c>
      <c r="B225" s="5" t="s">
        <v>154</v>
      </c>
      <c r="C225" s="33" t="s">
        <v>396</v>
      </c>
      <c r="D225" s="10"/>
      <c r="E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5" customHeight="1" x14ac:dyDescent="0.2">
      <c r="B226" s="11"/>
      <c r="C226" s="1" t="s">
        <v>27</v>
      </c>
      <c r="D226" s="1">
        <v>1</v>
      </c>
      <c r="E226">
        <f>Компонети!$F$19</f>
        <v>318</v>
      </c>
      <c r="F226">
        <f t="shared" si="3"/>
        <v>318</v>
      </c>
    </row>
    <row r="227" spans="1:27" ht="15" customHeight="1" x14ac:dyDescent="0.2">
      <c r="B227" s="11"/>
      <c r="C227" s="1" t="s">
        <v>23</v>
      </c>
      <c r="D227" s="1">
        <v>3</v>
      </c>
      <c r="E227">
        <f>Компонети!$F$13</f>
        <v>2862</v>
      </c>
      <c r="F227">
        <f t="shared" si="3"/>
        <v>8586</v>
      </c>
    </row>
    <row r="228" spans="1:27" ht="15" customHeight="1" x14ac:dyDescent="0.2">
      <c r="B228" s="11"/>
      <c r="C228" s="1" t="s">
        <v>28</v>
      </c>
      <c r="D228" s="1">
        <v>4</v>
      </c>
      <c r="E228">
        <f>Компонети!$F$20</f>
        <v>180</v>
      </c>
      <c r="F228">
        <f t="shared" si="3"/>
        <v>720</v>
      </c>
    </row>
    <row r="229" spans="1:27" ht="15" customHeight="1" x14ac:dyDescent="0.2">
      <c r="B229" s="11"/>
      <c r="C229" s="1" t="s">
        <v>30</v>
      </c>
      <c r="D229" s="1">
        <v>6</v>
      </c>
      <c r="E229">
        <f>Компонети!$F$21</f>
        <v>44.4</v>
      </c>
      <c r="F229">
        <f t="shared" si="3"/>
        <v>266.39999999999998</v>
      </c>
    </row>
    <row r="230" spans="1:27" ht="15" customHeight="1" x14ac:dyDescent="0.2">
      <c r="B230" s="11"/>
      <c r="C230" s="1" t="s">
        <v>32</v>
      </c>
      <c r="D230" s="1">
        <v>10</v>
      </c>
      <c r="E230">
        <f>Компонети!$F$22</f>
        <v>9.1199999999999992</v>
      </c>
      <c r="F230">
        <f t="shared" si="3"/>
        <v>91.199999999999989</v>
      </c>
    </row>
    <row r="231" spans="1:27" ht="15" customHeight="1" x14ac:dyDescent="0.2">
      <c r="B231" s="11"/>
      <c r="C231" s="1" t="s">
        <v>34</v>
      </c>
      <c r="D231" s="1">
        <v>6</v>
      </c>
      <c r="E231">
        <f>Компонети!$F$24</f>
        <v>9.1199999999999992</v>
      </c>
      <c r="F231">
        <f t="shared" si="3"/>
        <v>54.72</v>
      </c>
    </row>
    <row r="232" spans="1:27" ht="15" customHeight="1" x14ac:dyDescent="0.2">
      <c r="B232" s="11"/>
      <c r="C232" s="1" t="s">
        <v>404</v>
      </c>
      <c r="D232" s="1">
        <v>10</v>
      </c>
      <c r="E232">
        <f>Компонети!$F$32</f>
        <v>1226</v>
      </c>
      <c r="F232">
        <f t="shared" si="3"/>
        <v>12260</v>
      </c>
    </row>
    <row r="233" spans="1:27" ht="15" customHeight="1" x14ac:dyDescent="0.2">
      <c r="B233" s="11"/>
      <c r="C233" s="1">
        <v>67</v>
      </c>
      <c r="D233" s="1">
        <v>1</v>
      </c>
      <c r="E233">
        <f>Компонети!$F$37</f>
        <v>200</v>
      </c>
      <c r="F233">
        <f t="shared" si="3"/>
        <v>200</v>
      </c>
    </row>
    <row r="234" spans="1:27" ht="15" customHeight="1" x14ac:dyDescent="0.2">
      <c r="B234" s="11"/>
      <c r="C234" s="1" t="s">
        <v>56</v>
      </c>
      <c r="D234" s="1">
        <v>1</v>
      </c>
      <c r="E234">
        <f>Компонети!$F$41</f>
        <v>250</v>
      </c>
      <c r="F234">
        <f t="shared" si="3"/>
        <v>250</v>
      </c>
    </row>
    <row r="235" spans="1:27" ht="15" customHeight="1" x14ac:dyDescent="0.2">
      <c r="B235" s="11"/>
      <c r="C235" s="1" t="s">
        <v>62</v>
      </c>
      <c r="D235" s="1">
        <v>2</v>
      </c>
      <c r="E235">
        <f>Компонети!$F$44</f>
        <v>125</v>
      </c>
      <c r="F235">
        <f t="shared" si="3"/>
        <v>250</v>
      </c>
    </row>
    <row r="236" spans="1:27" ht="15" customHeight="1" x14ac:dyDescent="0.2">
      <c r="B236" s="11"/>
      <c r="C236" s="2" t="s">
        <v>64</v>
      </c>
      <c r="D236" s="1">
        <v>10</v>
      </c>
      <c r="E236">
        <f>Компонети!$F$45</f>
        <v>20</v>
      </c>
      <c r="F236">
        <f t="shared" si="3"/>
        <v>200</v>
      </c>
    </row>
    <row r="237" spans="1:27" ht="15" customHeight="1" x14ac:dyDescent="0.25">
      <c r="B237" s="11"/>
      <c r="E237" s="19" t="s">
        <v>267</v>
      </c>
      <c r="F237" s="21">
        <f>SUM(F226:F236)</f>
        <v>23196.32</v>
      </c>
    </row>
    <row r="238" spans="1:27" ht="38.25" x14ac:dyDescent="0.2">
      <c r="A238" s="9" t="s">
        <v>46</v>
      </c>
      <c r="B238" s="5" t="s">
        <v>155</v>
      </c>
      <c r="C238" s="33" t="s">
        <v>397</v>
      </c>
      <c r="D238" s="10"/>
      <c r="E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5" customHeight="1" x14ac:dyDescent="0.2">
      <c r="B239" s="11"/>
      <c r="C239" s="1" t="s">
        <v>27</v>
      </c>
      <c r="D239" s="1">
        <v>1</v>
      </c>
      <c r="E239">
        <f>Компонети!$F$19</f>
        <v>318</v>
      </c>
      <c r="F239">
        <f t="shared" si="3"/>
        <v>318</v>
      </c>
    </row>
    <row r="240" spans="1:27" ht="15" customHeight="1" x14ac:dyDescent="0.2">
      <c r="B240" s="11"/>
      <c r="C240" s="1" t="s">
        <v>23</v>
      </c>
      <c r="D240" s="1">
        <v>3</v>
      </c>
      <c r="E240">
        <f>Компонети!$F$13</f>
        <v>2862</v>
      </c>
      <c r="F240">
        <f t="shared" si="3"/>
        <v>8586</v>
      </c>
    </row>
    <row r="241" spans="1:6" ht="15" customHeight="1" x14ac:dyDescent="0.2">
      <c r="B241" s="11"/>
      <c r="C241" s="1" t="s">
        <v>28</v>
      </c>
      <c r="D241" s="1">
        <v>5</v>
      </c>
      <c r="E241">
        <f>Компонети!$F$20</f>
        <v>180</v>
      </c>
      <c r="F241">
        <f t="shared" si="3"/>
        <v>900</v>
      </c>
    </row>
    <row r="242" spans="1:6" ht="15" customHeight="1" x14ac:dyDescent="0.2">
      <c r="B242" s="11"/>
      <c r="C242" s="1" t="s">
        <v>30</v>
      </c>
      <c r="D242" s="1">
        <v>6</v>
      </c>
      <c r="E242">
        <f>Компонети!$F$21</f>
        <v>44.4</v>
      </c>
      <c r="F242">
        <f t="shared" si="3"/>
        <v>266.39999999999998</v>
      </c>
    </row>
    <row r="243" spans="1:6" ht="15" customHeight="1" x14ac:dyDescent="0.2">
      <c r="B243" s="11"/>
      <c r="C243" s="1" t="s">
        <v>32</v>
      </c>
      <c r="D243" s="1">
        <v>12</v>
      </c>
      <c r="E243">
        <f>Компонети!$F$22</f>
        <v>9.1199999999999992</v>
      </c>
      <c r="F243">
        <f t="shared" si="3"/>
        <v>109.44</v>
      </c>
    </row>
    <row r="244" spans="1:6" ht="15" customHeight="1" x14ac:dyDescent="0.2">
      <c r="B244" s="11"/>
      <c r="C244" s="1" t="s">
        <v>34</v>
      </c>
      <c r="D244" s="1">
        <v>6</v>
      </c>
      <c r="E244">
        <f>Компонети!$F$24</f>
        <v>9.1199999999999992</v>
      </c>
      <c r="F244">
        <f t="shared" si="3"/>
        <v>54.72</v>
      </c>
    </row>
    <row r="245" spans="1:6" ht="15" customHeight="1" x14ac:dyDescent="0.2">
      <c r="B245" s="11"/>
      <c r="C245" s="1" t="s">
        <v>404</v>
      </c>
      <c r="D245" s="1">
        <v>12</v>
      </c>
      <c r="E245">
        <f>Компонети!$F$32</f>
        <v>1226</v>
      </c>
      <c r="F245">
        <f t="shared" si="3"/>
        <v>14712</v>
      </c>
    </row>
    <row r="246" spans="1:6" ht="15" customHeight="1" x14ac:dyDescent="0.2">
      <c r="B246" s="11"/>
      <c r="C246" s="1">
        <v>67</v>
      </c>
      <c r="D246" s="1">
        <v>1</v>
      </c>
      <c r="E246">
        <f>Компонети!$F$37</f>
        <v>200</v>
      </c>
      <c r="F246">
        <f t="shared" si="3"/>
        <v>200</v>
      </c>
    </row>
    <row r="247" spans="1:6" ht="15" customHeight="1" x14ac:dyDescent="0.2">
      <c r="B247" s="11"/>
      <c r="C247" s="1" t="s">
        <v>56</v>
      </c>
      <c r="D247" s="1">
        <v>1</v>
      </c>
      <c r="E247">
        <f>Компонети!$F$41</f>
        <v>250</v>
      </c>
      <c r="F247">
        <f t="shared" si="3"/>
        <v>250</v>
      </c>
    </row>
    <row r="248" spans="1:6" ht="15" customHeight="1" x14ac:dyDescent="0.2">
      <c r="B248" s="11"/>
      <c r="C248" s="1" t="s">
        <v>62</v>
      </c>
      <c r="D248" s="1">
        <v>2</v>
      </c>
      <c r="E248">
        <f>Компонети!$F$44</f>
        <v>125</v>
      </c>
      <c r="F248">
        <f t="shared" si="3"/>
        <v>250</v>
      </c>
    </row>
    <row r="249" spans="1:6" ht="15" customHeight="1" x14ac:dyDescent="0.2">
      <c r="B249" s="11"/>
      <c r="C249" s="2" t="s">
        <v>64</v>
      </c>
      <c r="D249" s="1">
        <v>12</v>
      </c>
      <c r="E249">
        <f>Компонети!$F$45</f>
        <v>20</v>
      </c>
      <c r="F249">
        <f t="shared" si="3"/>
        <v>240</v>
      </c>
    </row>
    <row r="250" spans="1:6" ht="15" customHeight="1" x14ac:dyDescent="0.25">
      <c r="B250" s="11"/>
      <c r="E250" s="19" t="s">
        <v>267</v>
      </c>
      <c r="F250" s="21">
        <f>SUM(F239:F249)</f>
        <v>25886.559999999998</v>
      </c>
    </row>
    <row r="251" spans="1:6" ht="38.25" x14ac:dyDescent="0.2">
      <c r="A251" s="9" t="s">
        <v>46</v>
      </c>
      <c r="B251" s="5" t="s">
        <v>156</v>
      </c>
      <c r="C251" s="33" t="s">
        <v>398</v>
      </c>
      <c r="D251" s="10"/>
    </row>
    <row r="252" spans="1:6" ht="15" customHeight="1" x14ac:dyDescent="0.2">
      <c r="B252" s="11"/>
      <c r="C252" s="1" t="s">
        <v>27</v>
      </c>
      <c r="D252" s="1">
        <v>1</v>
      </c>
      <c r="E252">
        <f>Компонети!$F$19</f>
        <v>318</v>
      </c>
      <c r="F252">
        <f t="shared" si="3"/>
        <v>318</v>
      </c>
    </row>
    <row r="253" spans="1:6" ht="15" customHeight="1" x14ac:dyDescent="0.2">
      <c r="B253" s="11"/>
      <c r="C253" s="1" t="s">
        <v>25</v>
      </c>
      <c r="D253" s="1">
        <v>3</v>
      </c>
      <c r="E253">
        <f>Компонети!$F$14</f>
        <v>3759.6</v>
      </c>
      <c r="F253">
        <f t="shared" si="3"/>
        <v>11278.8</v>
      </c>
    </row>
    <row r="254" spans="1:6" ht="15" customHeight="1" x14ac:dyDescent="0.2">
      <c r="B254" s="11"/>
      <c r="C254" s="1" t="s">
        <v>28</v>
      </c>
      <c r="D254" s="1">
        <v>5</v>
      </c>
      <c r="E254">
        <f>Компонети!$F$20</f>
        <v>180</v>
      </c>
      <c r="F254">
        <f t="shared" si="3"/>
        <v>900</v>
      </c>
    </row>
    <row r="255" spans="1:6" ht="15" customHeight="1" x14ac:dyDescent="0.2">
      <c r="B255" s="11"/>
      <c r="C255" s="1" t="s">
        <v>30</v>
      </c>
      <c r="D255" s="1">
        <v>6</v>
      </c>
      <c r="E255">
        <f>Компонети!$F$21</f>
        <v>44.4</v>
      </c>
      <c r="F255">
        <f t="shared" si="3"/>
        <v>266.39999999999998</v>
      </c>
    </row>
    <row r="256" spans="1:6" ht="15" customHeight="1" x14ac:dyDescent="0.2">
      <c r="B256" s="11"/>
      <c r="C256" s="1" t="s">
        <v>32</v>
      </c>
      <c r="D256" s="1">
        <v>12</v>
      </c>
      <c r="E256">
        <f>Компонети!$F$22</f>
        <v>9.1199999999999992</v>
      </c>
      <c r="F256">
        <f t="shared" si="3"/>
        <v>109.44</v>
      </c>
    </row>
    <row r="257" spans="1:6" ht="15" customHeight="1" x14ac:dyDescent="0.2">
      <c r="B257" s="11"/>
      <c r="C257" s="1" t="s">
        <v>36</v>
      </c>
      <c r="D257" s="1">
        <v>6</v>
      </c>
      <c r="E257">
        <f>Компонети!$F$25</f>
        <v>9.1199999999999992</v>
      </c>
      <c r="F257">
        <f t="shared" si="3"/>
        <v>54.72</v>
      </c>
    </row>
    <row r="258" spans="1:6" ht="15" customHeight="1" x14ac:dyDescent="0.2">
      <c r="B258" s="11"/>
      <c r="C258" s="1" t="s">
        <v>404</v>
      </c>
      <c r="D258" s="1">
        <v>12</v>
      </c>
      <c r="E258">
        <f>Компонети!$F$32</f>
        <v>1226</v>
      </c>
      <c r="F258">
        <f t="shared" si="3"/>
        <v>14712</v>
      </c>
    </row>
    <row r="259" spans="1:6" ht="15" customHeight="1" x14ac:dyDescent="0.2">
      <c r="B259" s="11"/>
      <c r="C259" s="1">
        <v>67</v>
      </c>
      <c r="D259" s="1">
        <v>1</v>
      </c>
      <c r="E259">
        <f>Компонети!$F$37</f>
        <v>200</v>
      </c>
      <c r="F259">
        <f t="shared" si="3"/>
        <v>200</v>
      </c>
    </row>
    <row r="260" spans="1:6" ht="15" customHeight="1" x14ac:dyDescent="0.2">
      <c r="B260" s="11"/>
      <c r="C260" s="1" t="s">
        <v>56</v>
      </c>
      <c r="D260" s="1">
        <v>1</v>
      </c>
      <c r="E260">
        <f>Компонети!$F$41</f>
        <v>250</v>
      </c>
      <c r="F260">
        <f t="shared" ref="F260:F301" si="4">E260*D260</f>
        <v>250</v>
      </c>
    </row>
    <row r="261" spans="1:6" ht="15" customHeight="1" x14ac:dyDescent="0.2">
      <c r="B261" s="11"/>
      <c r="C261" s="1" t="s">
        <v>62</v>
      </c>
      <c r="D261" s="1">
        <v>2</v>
      </c>
      <c r="E261">
        <f>Компонети!$F$44</f>
        <v>125</v>
      </c>
      <c r="F261">
        <f t="shared" si="4"/>
        <v>250</v>
      </c>
    </row>
    <row r="262" spans="1:6" ht="15" customHeight="1" x14ac:dyDescent="0.2">
      <c r="B262" s="11"/>
      <c r="C262" s="2" t="s">
        <v>64</v>
      </c>
      <c r="D262" s="1">
        <v>12</v>
      </c>
      <c r="E262">
        <f>Компонети!$F$45</f>
        <v>20</v>
      </c>
      <c r="F262">
        <f t="shared" si="4"/>
        <v>240</v>
      </c>
    </row>
    <row r="263" spans="1:6" ht="15" customHeight="1" x14ac:dyDescent="0.25">
      <c r="B263" s="11"/>
      <c r="E263" s="19" t="s">
        <v>267</v>
      </c>
      <c r="F263" s="21">
        <f>SUM(F252:F262)</f>
        <v>28579.360000000001</v>
      </c>
    </row>
    <row r="264" spans="1:6" ht="38.25" x14ac:dyDescent="0.2">
      <c r="A264" s="9" t="s">
        <v>46</v>
      </c>
      <c r="B264" s="5" t="s">
        <v>157</v>
      </c>
      <c r="C264" s="33" t="s">
        <v>399</v>
      </c>
      <c r="D264" s="10"/>
    </row>
    <row r="265" spans="1:6" ht="15" customHeight="1" x14ac:dyDescent="0.2">
      <c r="B265" s="11"/>
      <c r="C265" s="1" t="s">
        <v>27</v>
      </c>
      <c r="D265" s="1">
        <v>1</v>
      </c>
      <c r="E265">
        <f>Компонети!$F$19</f>
        <v>318</v>
      </c>
      <c r="F265">
        <f t="shared" si="4"/>
        <v>318</v>
      </c>
    </row>
    <row r="266" spans="1:6" ht="15" customHeight="1" x14ac:dyDescent="0.2">
      <c r="B266" s="11"/>
      <c r="C266" s="1" t="s">
        <v>25</v>
      </c>
      <c r="D266" s="1">
        <v>3</v>
      </c>
      <c r="E266">
        <f>Компонети!$F$14</f>
        <v>3759.6</v>
      </c>
      <c r="F266">
        <f t="shared" si="4"/>
        <v>11278.8</v>
      </c>
    </row>
    <row r="267" spans="1:6" ht="15" customHeight="1" x14ac:dyDescent="0.2">
      <c r="B267" s="11"/>
      <c r="C267" s="1" t="s">
        <v>28</v>
      </c>
      <c r="D267" s="1">
        <v>6</v>
      </c>
      <c r="E267">
        <f>Компонети!$F$20</f>
        <v>180</v>
      </c>
      <c r="F267">
        <f t="shared" si="4"/>
        <v>1080</v>
      </c>
    </row>
    <row r="268" spans="1:6" ht="15" customHeight="1" x14ac:dyDescent="0.2">
      <c r="B268" s="11"/>
      <c r="C268" s="1" t="s">
        <v>30</v>
      </c>
      <c r="D268" s="1">
        <v>6</v>
      </c>
      <c r="E268">
        <f>Компонети!$F$21</f>
        <v>44.4</v>
      </c>
      <c r="F268">
        <f t="shared" si="4"/>
        <v>266.39999999999998</v>
      </c>
    </row>
    <row r="269" spans="1:6" ht="15" customHeight="1" x14ac:dyDescent="0.2">
      <c r="B269" s="11"/>
      <c r="C269" s="1" t="s">
        <v>32</v>
      </c>
      <c r="D269" s="1">
        <v>15</v>
      </c>
      <c r="E269">
        <f>Компонети!$F$22</f>
        <v>9.1199999999999992</v>
      </c>
      <c r="F269">
        <f t="shared" si="4"/>
        <v>136.79999999999998</v>
      </c>
    </row>
    <row r="270" spans="1:6" ht="15" customHeight="1" x14ac:dyDescent="0.2">
      <c r="B270" s="11"/>
      <c r="C270" s="1" t="s">
        <v>36</v>
      </c>
      <c r="D270" s="1">
        <v>6</v>
      </c>
      <c r="E270">
        <f>Компонети!$F$25</f>
        <v>9.1199999999999992</v>
      </c>
      <c r="F270">
        <f t="shared" si="4"/>
        <v>54.72</v>
      </c>
    </row>
    <row r="271" spans="1:6" ht="15" customHeight="1" x14ac:dyDescent="0.2">
      <c r="B271" s="11"/>
      <c r="C271" s="1" t="s">
        <v>404</v>
      </c>
      <c r="D271" s="1">
        <v>15</v>
      </c>
      <c r="E271">
        <f>Компонети!$F$32</f>
        <v>1226</v>
      </c>
      <c r="F271">
        <f t="shared" si="4"/>
        <v>18390</v>
      </c>
    </row>
    <row r="272" spans="1:6" ht="15" customHeight="1" x14ac:dyDescent="0.2">
      <c r="B272" s="11"/>
      <c r="C272" s="1">
        <v>67</v>
      </c>
      <c r="D272" s="1">
        <v>1</v>
      </c>
      <c r="E272">
        <f>Компонети!$F$37</f>
        <v>200</v>
      </c>
      <c r="F272">
        <f t="shared" si="4"/>
        <v>200</v>
      </c>
    </row>
    <row r="273" spans="1:6" ht="15" customHeight="1" x14ac:dyDescent="0.2">
      <c r="B273" s="11"/>
      <c r="C273" s="1" t="s">
        <v>56</v>
      </c>
      <c r="D273" s="1">
        <v>1</v>
      </c>
      <c r="E273">
        <f>Компонети!$F$41</f>
        <v>250</v>
      </c>
      <c r="F273">
        <f t="shared" si="4"/>
        <v>250</v>
      </c>
    </row>
    <row r="274" spans="1:6" ht="15" customHeight="1" x14ac:dyDescent="0.2">
      <c r="B274" s="11"/>
      <c r="C274" s="1" t="s">
        <v>62</v>
      </c>
      <c r="D274" s="1">
        <v>3</v>
      </c>
      <c r="E274">
        <f>Компонети!$F$44</f>
        <v>125</v>
      </c>
      <c r="F274">
        <f t="shared" si="4"/>
        <v>375</v>
      </c>
    </row>
    <row r="275" spans="1:6" ht="15" customHeight="1" x14ac:dyDescent="0.2">
      <c r="B275" s="11"/>
      <c r="C275" s="2" t="s">
        <v>64</v>
      </c>
      <c r="D275" s="1">
        <v>15</v>
      </c>
      <c r="E275">
        <f>Компонети!$F$45</f>
        <v>20</v>
      </c>
      <c r="F275">
        <f t="shared" si="4"/>
        <v>300</v>
      </c>
    </row>
    <row r="276" spans="1:6" ht="15" customHeight="1" x14ac:dyDescent="0.25">
      <c r="B276" s="11"/>
      <c r="E276" s="19" t="s">
        <v>267</v>
      </c>
      <c r="F276" s="21">
        <f>SUM(F265:F275)</f>
        <v>32649.719999999998</v>
      </c>
    </row>
    <row r="277" spans="1:6" ht="38.25" x14ac:dyDescent="0.2">
      <c r="A277" s="9" t="s">
        <v>46</v>
      </c>
      <c r="B277" s="5" t="s">
        <v>158</v>
      </c>
      <c r="C277" s="33" t="s">
        <v>400</v>
      </c>
      <c r="D277" s="10"/>
    </row>
    <row r="278" spans="1:6" ht="15" customHeight="1" x14ac:dyDescent="0.2">
      <c r="B278" s="11"/>
      <c r="C278" s="1" t="s">
        <v>27</v>
      </c>
      <c r="D278" s="1">
        <v>1</v>
      </c>
      <c r="E278">
        <f>Компонети!$F$19</f>
        <v>318</v>
      </c>
      <c r="F278">
        <f t="shared" si="4"/>
        <v>318</v>
      </c>
    </row>
    <row r="279" spans="1:6" ht="15" customHeight="1" x14ac:dyDescent="0.2">
      <c r="B279" s="11"/>
      <c r="C279" s="1" t="s">
        <v>25</v>
      </c>
      <c r="D279" s="1">
        <v>3</v>
      </c>
      <c r="E279">
        <f>Компонети!$F$14</f>
        <v>3759.6</v>
      </c>
      <c r="F279">
        <f t="shared" si="4"/>
        <v>11278.8</v>
      </c>
    </row>
    <row r="280" spans="1:6" ht="15" customHeight="1" x14ac:dyDescent="0.2">
      <c r="B280" s="11"/>
      <c r="C280" s="1" t="s">
        <v>28</v>
      </c>
      <c r="D280" s="1">
        <v>6</v>
      </c>
      <c r="E280">
        <f>Компонети!$F$20</f>
        <v>180</v>
      </c>
      <c r="F280">
        <f t="shared" si="4"/>
        <v>1080</v>
      </c>
    </row>
    <row r="281" spans="1:6" ht="15" customHeight="1" x14ac:dyDescent="0.2">
      <c r="B281" s="11"/>
      <c r="C281" s="1" t="s">
        <v>30</v>
      </c>
      <c r="D281" s="1">
        <v>6</v>
      </c>
      <c r="E281">
        <f>Компонети!$F$21</f>
        <v>44.4</v>
      </c>
      <c r="F281">
        <f t="shared" si="4"/>
        <v>266.39999999999998</v>
      </c>
    </row>
    <row r="282" spans="1:6" ht="15" customHeight="1" x14ac:dyDescent="0.2">
      <c r="B282" s="11"/>
      <c r="C282" s="1" t="s">
        <v>32</v>
      </c>
      <c r="D282" s="1">
        <v>18</v>
      </c>
      <c r="E282">
        <f>Компонети!$F$22</f>
        <v>9.1199999999999992</v>
      </c>
      <c r="F282">
        <f t="shared" si="4"/>
        <v>164.16</v>
      </c>
    </row>
    <row r="283" spans="1:6" ht="15" customHeight="1" x14ac:dyDescent="0.2">
      <c r="B283" s="11"/>
      <c r="C283" s="1" t="s">
        <v>36</v>
      </c>
      <c r="D283" s="1">
        <v>6</v>
      </c>
      <c r="E283">
        <f>Компонети!$F$25</f>
        <v>9.1199999999999992</v>
      </c>
      <c r="F283">
        <f t="shared" si="4"/>
        <v>54.72</v>
      </c>
    </row>
    <row r="284" spans="1:6" ht="15" customHeight="1" x14ac:dyDescent="0.2">
      <c r="B284" s="11"/>
      <c r="C284" s="1" t="s">
        <v>404</v>
      </c>
      <c r="D284" s="1">
        <v>18</v>
      </c>
      <c r="E284">
        <f>Компонети!$F$32</f>
        <v>1226</v>
      </c>
      <c r="F284">
        <f t="shared" si="4"/>
        <v>22068</v>
      </c>
    </row>
    <row r="285" spans="1:6" ht="15" customHeight="1" x14ac:dyDescent="0.2">
      <c r="B285" s="11"/>
      <c r="C285" s="1">
        <v>67</v>
      </c>
      <c r="D285" s="1">
        <v>1</v>
      </c>
      <c r="E285">
        <f>Компонети!$F$37</f>
        <v>200</v>
      </c>
      <c r="F285">
        <f t="shared" si="4"/>
        <v>200</v>
      </c>
    </row>
    <row r="286" spans="1:6" ht="15" customHeight="1" x14ac:dyDescent="0.2">
      <c r="B286" s="11"/>
      <c r="C286" s="1" t="s">
        <v>56</v>
      </c>
      <c r="D286" s="1">
        <v>1</v>
      </c>
      <c r="E286">
        <f>Компонети!$F$41</f>
        <v>250</v>
      </c>
      <c r="F286">
        <f t="shared" si="4"/>
        <v>250</v>
      </c>
    </row>
    <row r="287" spans="1:6" ht="15" customHeight="1" x14ac:dyDescent="0.2">
      <c r="B287" s="11"/>
      <c r="C287" s="1" t="s">
        <v>62</v>
      </c>
      <c r="D287" s="1">
        <v>3</v>
      </c>
      <c r="E287">
        <f>Компонети!$F$44</f>
        <v>125</v>
      </c>
      <c r="F287">
        <f t="shared" si="4"/>
        <v>375</v>
      </c>
    </row>
    <row r="288" spans="1:6" ht="15" customHeight="1" x14ac:dyDescent="0.2">
      <c r="B288" s="11"/>
      <c r="C288" s="2" t="s">
        <v>64</v>
      </c>
      <c r="D288" s="1">
        <v>18</v>
      </c>
      <c r="E288">
        <f>Компонети!$F$45</f>
        <v>20</v>
      </c>
      <c r="F288">
        <f t="shared" si="4"/>
        <v>360</v>
      </c>
    </row>
    <row r="289" spans="1:6" ht="15" customHeight="1" x14ac:dyDescent="0.25">
      <c r="E289" s="19" t="s">
        <v>267</v>
      </c>
      <c r="F289" s="21">
        <f>SUM(F278:F288)</f>
        <v>36415.08</v>
      </c>
    </row>
    <row r="290" spans="1:6" ht="38.25" x14ac:dyDescent="0.2">
      <c r="A290" s="9" t="s">
        <v>46</v>
      </c>
      <c r="B290" s="5" t="s">
        <v>159</v>
      </c>
      <c r="C290" s="29" t="s">
        <v>401</v>
      </c>
      <c r="D290" s="10"/>
    </row>
    <row r="291" spans="1:6" ht="15" customHeight="1" x14ac:dyDescent="0.2">
      <c r="B291" s="11"/>
      <c r="C291" s="1" t="s">
        <v>27</v>
      </c>
      <c r="D291" s="1">
        <v>1</v>
      </c>
      <c r="E291">
        <f>Компонети!$F$19</f>
        <v>318</v>
      </c>
      <c r="F291">
        <f t="shared" si="4"/>
        <v>318</v>
      </c>
    </row>
    <row r="292" spans="1:6" ht="15" customHeight="1" x14ac:dyDescent="0.2">
      <c r="B292" s="11"/>
      <c r="C292" s="1" t="s">
        <v>25</v>
      </c>
      <c r="D292" s="1">
        <v>3</v>
      </c>
      <c r="E292">
        <f>Компонети!$F$14</f>
        <v>3759.6</v>
      </c>
      <c r="F292">
        <f t="shared" si="4"/>
        <v>11278.8</v>
      </c>
    </row>
    <row r="293" spans="1:6" ht="15" customHeight="1" x14ac:dyDescent="0.2">
      <c r="B293" s="11"/>
      <c r="C293" s="1" t="s">
        <v>28</v>
      </c>
      <c r="D293" s="1">
        <v>7</v>
      </c>
      <c r="E293">
        <f>Компонети!$F$20</f>
        <v>180</v>
      </c>
      <c r="F293">
        <f t="shared" si="4"/>
        <v>1260</v>
      </c>
    </row>
    <row r="294" spans="1:6" ht="15" customHeight="1" x14ac:dyDescent="0.2">
      <c r="B294" s="11"/>
      <c r="C294" s="1" t="s">
        <v>30</v>
      </c>
      <c r="D294" s="1">
        <v>6</v>
      </c>
      <c r="E294">
        <f>Компонети!$F$21</f>
        <v>44.4</v>
      </c>
      <c r="F294">
        <f t="shared" si="4"/>
        <v>266.39999999999998</v>
      </c>
    </row>
    <row r="295" spans="1:6" ht="15" customHeight="1" x14ac:dyDescent="0.2">
      <c r="B295" s="11"/>
      <c r="C295" s="1" t="s">
        <v>32</v>
      </c>
      <c r="D295" s="1">
        <v>20</v>
      </c>
      <c r="E295" s="34">
        <f>Компонети!$F$22</f>
        <v>9.1199999999999992</v>
      </c>
      <c r="F295">
        <f t="shared" si="4"/>
        <v>182.39999999999998</v>
      </c>
    </row>
    <row r="296" spans="1:6" ht="15" customHeight="1" x14ac:dyDescent="0.2">
      <c r="B296" s="11"/>
      <c r="C296" s="1" t="s">
        <v>36</v>
      </c>
      <c r="D296" s="1">
        <v>6</v>
      </c>
      <c r="E296">
        <f>Компонети!$F$25</f>
        <v>9.1199999999999992</v>
      </c>
      <c r="F296">
        <f t="shared" si="4"/>
        <v>54.72</v>
      </c>
    </row>
    <row r="297" spans="1:6" ht="15" customHeight="1" x14ac:dyDescent="0.2">
      <c r="B297" s="11"/>
      <c r="C297" s="1" t="s">
        <v>404</v>
      </c>
      <c r="D297" s="1">
        <v>20</v>
      </c>
      <c r="E297">
        <f>Компонети!$F$32</f>
        <v>1226</v>
      </c>
      <c r="F297">
        <f t="shared" si="4"/>
        <v>24520</v>
      </c>
    </row>
    <row r="298" spans="1:6" ht="15" customHeight="1" x14ac:dyDescent="0.2">
      <c r="B298" s="11"/>
      <c r="C298" s="1">
        <v>67</v>
      </c>
      <c r="D298" s="1">
        <v>1</v>
      </c>
      <c r="E298">
        <f>Компонети!$F$37</f>
        <v>200</v>
      </c>
      <c r="F298">
        <f t="shared" si="4"/>
        <v>200</v>
      </c>
    </row>
    <row r="299" spans="1:6" ht="15" customHeight="1" x14ac:dyDescent="0.2">
      <c r="B299" s="11"/>
      <c r="C299" s="1" t="s">
        <v>56</v>
      </c>
      <c r="D299" s="1">
        <v>1</v>
      </c>
      <c r="E299">
        <f>Компонети!$F$41</f>
        <v>250</v>
      </c>
      <c r="F299">
        <f t="shared" si="4"/>
        <v>250</v>
      </c>
    </row>
    <row r="300" spans="1:6" ht="15" customHeight="1" x14ac:dyDescent="0.2">
      <c r="B300" s="11"/>
      <c r="C300" s="1" t="s">
        <v>62</v>
      </c>
      <c r="D300" s="1">
        <v>3</v>
      </c>
      <c r="E300">
        <f>Компонети!$F$44</f>
        <v>125</v>
      </c>
      <c r="F300">
        <f t="shared" si="4"/>
        <v>375</v>
      </c>
    </row>
    <row r="301" spans="1:6" ht="15" customHeight="1" x14ac:dyDescent="0.2">
      <c r="B301" s="11"/>
      <c r="C301" s="2" t="s">
        <v>64</v>
      </c>
      <c r="D301" s="1">
        <v>20</v>
      </c>
      <c r="E301">
        <f>Компонети!$F$45</f>
        <v>20</v>
      </c>
      <c r="F301">
        <f t="shared" si="4"/>
        <v>400</v>
      </c>
    </row>
    <row r="302" spans="1:6" ht="15" customHeight="1" x14ac:dyDescent="0.25">
      <c r="E302" s="19" t="s">
        <v>267</v>
      </c>
      <c r="F302" s="21">
        <f>SUM(F291:F301)</f>
        <v>39105.32</v>
      </c>
    </row>
  </sheetData>
  <mergeCells count="2">
    <mergeCell ref="A1:D1"/>
    <mergeCell ref="A133:D133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Аркуш4">
    <outlinePr summaryBelow="0" summaryRight="0"/>
  </sheetPr>
  <dimension ref="A1:Z1021"/>
  <sheetViews>
    <sheetView workbookViewId="0">
      <pane xSplit="1" topLeftCell="L1" activePane="topRight" state="frozen"/>
      <selection pane="topRight" activeCell="W2" sqref="W2"/>
    </sheetView>
  </sheetViews>
  <sheetFormatPr defaultColWidth="12.5703125" defaultRowHeight="15.75" customHeight="1" x14ac:dyDescent="0.2"/>
  <cols>
    <col min="1" max="1" width="32" customWidth="1"/>
    <col min="2" max="23" width="18" customWidth="1"/>
  </cols>
  <sheetData>
    <row r="1" spans="1:26" x14ac:dyDescent="0.2">
      <c r="A1" s="8"/>
      <c r="B1" s="44" t="s">
        <v>160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 t="s">
        <v>161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spans="1:26" x14ac:dyDescent="0.2">
      <c r="A2" s="15" t="s">
        <v>162</v>
      </c>
      <c r="B2" s="27" t="str">
        <f>'MultiPlus &amp; Sunlight'!C2</f>
        <v>TMS4801001003</v>
      </c>
      <c r="C2" s="27" t="str">
        <f>'MultiPlus &amp; Sunlight'!C10</f>
        <v>TMS4801001003GX</v>
      </c>
      <c r="D2" s="27" t="str">
        <f>'MultiPlus &amp; Sunlight'!C18</f>
        <v>TMS4802001005</v>
      </c>
      <c r="E2" s="27" t="str">
        <f>'MultiPlus &amp; Sunlight'!C30</f>
        <v>TMS4802001005GX</v>
      </c>
      <c r="F2" s="27" t="str">
        <f>'MultiPlus &amp; Sunlight'!C42</f>
        <v>TMS4803001005GX</v>
      </c>
      <c r="G2" s="27" t="str">
        <f>'MultiPlus &amp; Sunlight'!C54</f>
        <v>TMS4802001008GX</v>
      </c>
      <c r="H2" s="27" t="str">
        <f>'MultiPlus &amp; Sunlight'!C67</f>
        <v>TMS4803001008GX</v>
      </c>
      <c r="I2" s="27" t="str">
        <f>'MultiPlus &amp; Sunlight'!C80</f>
        <v>TMS4803001010GX</v>
      </c>
      <c r="J2" s="27" t="str">
        <f>'MultiPlus &amp; Sunlight'!C93</f>
        <v>TMS4804001010GX</v>
      </c>
      <c r="K2" s="27" t="str">
        <f>'MultiPlus &amp; Sunlight'!C106</f>
        <v>TMS4804001015GX</v>
      </c>
      <c r="L2" s="27" t="str">
        <f>'MultiPlus &amp; Sunlight'!C119</f>
        <v>TMS4805001015GX</v>
      </c>
      <c r="M2" s="27" t="str">
        <f>'MultiPlus &amp; Sunlight'!C132</f>
        <v>TMS4806001015GX</v>
      </c>
      <c r="N2" s="32" t="str">
        <f>'Quattro &amp; Sunlight'!C2</f>
        <v>TQS4802001005GX</v>
      </c>
      <c r="O2" s="32" t="str">
        <f>'Quattro &amp; Sunlight'!C15</f>
        <v>TQS4803001005GX</v>
      </c>
      <c r="P2" s="32" t="str">
        <f>'Quattro &amp; Sunlight'!C28</f>
        <v>TQS4802001008GX</v>
      </c>
      <c r="Q2" s="32" t="str">
        <f>'Quattro &amp; Sunlight'!C41</f>
        <v>TQS4803001008GX</v>
      </c>
      <c r="R2" s="32" t="str">
        <f>'Quattro &amp; Sunlight'!C54</f>
        <v>TQS4803001010GX</v>
      </c>
      <c r="S2" s="32" t="str">
        <f>'Quattro &amp; Sunlight'!C67</f>
        <v>TQS4804001010GX</v>
      </c>
      <c r="T2" s="32" t="str">
        <f>'Quattro &amp; Sunlight'!C80</f>
        <v>TQS4805001010GX</v>
      </c>
      <c r="U2" s="32" t="str">
        <f>'Quattro &amp; Sunlight'!C93</f>
        <v>TQS4804001015GX</v>
      </c>
      <c r="V2" s="32" t="str">
        <f>'Quattro &amp; Sunlight'!C106</f>
        <v>TQS4805001015GX</v>
      </c>
      <c r="W2" s="32" t="str">
        <f>'Quattro &amp; Sunlight'!C119</f>
        <v>TQS4806001015GX</v>
      </c>
      <c r="X2" s="16"/>
      <c r="Y2" s="16"/>
      <c r="Z2" s="16"/>
    </row>
    <row r="3" spans="1:26" x14ac:dyDescent="0.2">
      <c r="A3" s="1" t="s">
        <v>163</v>
      </c>
      <c r="B3" s="17" t="s">
        <v>164</v>
      </c>
      <c r="C3" s="17" t="s">
        <v>164</v>
      </c>
      <c r="D3" s="17" t="s">
        <v>164</v>
      </c>
      <c r="E3" s="17" t="s">
        <v>164</v>
      </c>
      <c r="F3" s="17" t="s">
        <v>164</v>
      </c>
      <c r="G3" s="17" t="s">
        <v>164</v>
      </c>
      <c r="H3" s="17" t="s">
        <v>164</v>
      </c>
      <c r="I3" s="17" t="s">
        <v>164</v>
      </c>
      <c r="J3" s="17" t="s">
        <v>164</v>
      </c>
      <c r="K3" s="17" t="s">
        <v>164</v>
      </c>
      <c r="L3" s="17" t="s">
        <v>164</v>
      </c>
      <c r="M3" s="17" t="s">
        <v>164</v>
      </c>
      <c r="N3" s="17" t="s">
        <v>164</v>
      </c>
      <c r="O3" s="17" t="s">
        <v>164</v>
      </c>
      <c r="P3" s="17" t="s">
        <v>164</v>
      </c>
      <c r="Q3" s="17" t="s">
        <v>164</v>
      </c>
      <c r="R3" s="17" t="s">
        <v>164</v>
      </c>
      <c r="S3" s="17" t="s">
        <v>164</v>
      </c>
      <c r="T3" s="17" t="s">
        <v>164</v>
      </c>
      <c r="U3" s="17" t="s">
        <v>164</v>
      </c>
      <c r="V3" s="17" t="s">
        <v>164</v>
      </c>
      <c r="W3" s="17" t="s">
        <v>164</v>
      </c>
    </row>
    <row r="4" spans="1:26" x14ac:dyDescent="0.2">
      <c r="A4" s="1" t="s">
        <v>165</v>
      </c>
      <c r="B4" s="17">
        <v>230</v>
      </c>
      <c r="C4" s="17">
        <v>230</v>
      </c>
      <c r="D4" s="17">
        <v>230</v>
      </c>
      <c r="E4" s="17">
        <v>230</v>
      </c>
      <c r="F4" s="17">
        <v>230</v>
      </c>
      <c r="G4" s="17">
        <v>230</v>
      </c>
      <c r="H4" s="17">
        <v>230</v>
      </c>
      <c r="I4" s="17">
        <v>230</v>
      </c>
      <c r="J4" s="17">
        <v>230</v>
      </c>
      <c r="K4" s="17">
        <v>230</v>
      </c>
      <c r="L4" s="17">
        <v>230</v>
      </c>
      <c r="M4" s="17">
        <v>230</v>
      </c>
      <c r="N4" s="17">
        <v>230</v>
      </c>
      <c r="O4" s="17">
        <v>230</v>
      </c>
      <c r="P4" s="17">
        <v>230</v>
      </c>
      <c r="Q4" s="17">
        <v>230</v>
      </c>
      <c r="R4" s="17">
        <v>230</v>
      </c>
      <c r="S4" s="17">
        <v>230</v>
      </c>
      <c r="T4" s="17">
        <v>230</v>
      </c>
      <c r="U4" s="17">
        <v>230</v>
      </c>
      <c r="V4" s="17">
        <v>230</v>
      </c>
      <c r="W4" s="17">
        <v>230</v>
      </c>
    </row>
    <row r="5" spans="1:26" x14ac:dyDescent="0.2">
      <c r="A5" s="1" t="s">
        <v>166</v>
      </c>
      <c r="B5" s="17">
        <v>230</v>
      </c>
      <c r="C5" s="17">
        <v>230</v>
      </c>
      <c r="D5" s="17">
        <v>230</v>
      </c>
      <c r="E5" s="17">
        <v>230</v>
      </c>
      <c r="F5" s="17">
        <v>230</v>
      </c>
      <c r="G5" s="17">
        <v>230</v>
      </c>
      <c r="H5" s="17">
        <v>230</v>
      </c>
      <c r="I5" s="17">
        <v>230</v>
      </c>
      <c r="J5" s="17">
        <v>230</v>
      </c>
      <c r="K5" s="17">
        <v>230</v>
      </c>
      <c r="L5" s="17">
        <v>230</v>
      </c>
      <c r="M5" s="17">
        <v>230</v>
      </c>
      <c r="N5" s="17">
        <v>230</v>
      </c>
      <c r="O5" s="17">
        <v>230</v>
      </c>
      <c r="P5" s="17">
        <v>230</v>
      </c>
      <c r="Q5" s="17">
        <v>230</v>
      </c>
      <c r="R5" s="17">
        <v>230</v>
      </c>
      <c r="S5" s="17">
        <v>230</v>
      </c>
      <c r="T5" s="17">
        <v>230</v>
      </c>
      <c r="U5" s="17">
        <v>230</v>
      </c>
      <c r="V5" s="17">
        <v>230</v>
      </c>
      <c r="W5" s="17">
        <v>230</v>
      </c>
    </row>
    <row r="6" spans="1:26" x14ac:dyDescent="0.2">
      <c r="A6" s="1" t="s">
        <v>167</v>
      </c>
      <c r="B6" s="17">
        <v>7.36</v>
      </c>
      <c r="C6" s="17">
        <v>7.36</v>
      </c>
      <c r="D6" s="17">
        <v>11</v>
      </c>
      <c r="E6" s="17">
        <v>11</v>
      </c>
      <c r="F6" s="17">
        <v>11</v>
      </c>
      <c r="G6" s="17">
        <v>22</v>
      </c>
      <c r="H6" s="17">
        <v>22</v>
      </c>
      <c r="I6" s="17">
        <v>22</v>
      </c>
      <c r="J6" s="17">
        <v>22</v>
      </c>
      <c r="K6" s="17">
        <v>22</v>
      </c>
      <c r="L6" s="17">
        <v>22</v>
      </c>
      <c r="M6" s="17">
        <v>22</v>
      </c>
      <c r="N6" s="17">
        <v>22</v>
      </c>
      <c r="O6" s="17">
        <v>22</v>
      </c>
      <c r="P6" s="17">
        <v>22</v>
      </c>
      <c r="Q6" s="17">
        <v>22</v>
      </c>
      <c r="R6" s="17">
        <v>22</v>
      </c>
      <c r="S6" s="17">
        <v>22</v>
      </c>
      <c r="T6" s="17">
        <v>22</v>
      </c>
      <c r="U6" s="17">
        <v>22</v>
      </c>
      <c r="V6" s="17">
        <v>22</v>
      </c>
      <c r="W6" s="17">
        <v>22</v>
      </c>
    </row>
    <row r="7" spans="1:26" x14ac:dyDescent="0.2">
      <c r="A7" s="1" t="s">
        <v>168</v>
      </c>
      <c r="B7" s="17">
        <v>3</v>
      </c>
      <c r="C7" s="17">
        <v>3</v>
      </c>
      <c r="D7" s="17">
        <v>5</v>
      </c>
      <c r="E7" s="17">
        <v>5</v>
      </c>
      <c r="F7" s="17">
        <v>5</v>
      </c>
      <c r="G7" s="17">
        <v>8</v>
      </c>
      <c r="H7" s="17">
        <v>8</v>
      </c>
      <c r="I7" s="17">
        <v>10</v>
      </c>
      <c r="J7" s="17">
        <v>10</v>
      </c>
      <c r="K7" s="17">
        <v>15</v>
      </c>
      <c r="L7" s="17">
        <v>15</v>
      </c>
      <c r="M7" s="17">
        <v>15</v>
      </c>
      <c r="N7" s="17">
        <v>5</v>
      </c>
      <c r="O7" s="17">
        <v>5</v>
      </c>
      <c r="P7" s="17">
        <v>8</v>
      </c>
      <c r="Q7" s="17">
        <v>8</v>
      </c>
      <c r="R7" s="17">
        <v>10</v>
      </c>
      <c r="S7" s="17">
        <v>10</v>
      </c>
      <c r="T7" s="17">
        <v>10</v>
      </c>
      <c r="U7" s="17">
        <v>15</v>
      </c>
      <c r="V7" s="17">
        <v>15</v>
      </c>
      <c r="W7" s="17">
        <v>15</v>
      </c>
    </row>
    <row r="8" spans="1:26" x14ac:dyDescent="0.2">
      <c r="A8" s="1" t="s">
        <v>169</v>
      </c>
      <c r="B8" s="17">
        <v>2.4</v>
      </c>
      <c r="C8" s="17">
        <v>2.4</v>
      </c>
      <c r="D8" s="17">
        <v>4</v>
      </c>
      <c r="E8" s="17">
        <v>4</v>
      </c>
      <c r="F8" s="17">
        <v>4</v>
      </c>
      <c r="G8" s="17">
        <v>6.4</v>
      </c>
      <c r="H8" s="17">
        <v>6.4</v>
      </c>
      <c r="I8" s="17">
        <v>8</v>
      </c>
      <c r="J8" s="17">
        <v>8</v>
      </c>
      <c r="K8" s="17">
        <v>12</v>
      </c>
      <c r="L8" s="17">
        <v>12</v>
      </c>
      <c r="M8" s="17">
        <v>12</v>
      </c>
      <c r="N8" s="17">
        <v>4</v>
      </c>
      <c r="O8" s="17">
        <v>4</v>
      </c>
      <c r="P8" s="17">
        <v>6.4</v>
      </c>
      <c r="Q8" s="17">
        <v>6.4</v>
      </c>
      <c r="R8" s="17">
        <v>8</v>
      </c>
      <c r="S8" s="17">
        <v>8</v>
      </c>
      <c r="T8" s="17">
        <v>8</v>
      </c>
      <c r="U8" s="17">
        <v>12</v>
      </c>
      <c r="V8" s="17">
        <v>12</v>
      </c>
      <c r="W8" s="17">
        <v>12</v>
      </c>
    </row>
    <row r="9" spans="1:26" x14ac:dyDescent="0.2">
      <c r="A9" s="1" t="s">
        <v>170</v>
      </c>
      <c r="B9" s="17">
        <v>5.5</v>
      </c>
      <c r="C9" s="17">
        <v>5.5</v>
      </c>
      <c r="D9" s="17">
        <v>9</v>
      </c>
      <c r="E9" s="17">
        <v>9</v>
      </c>
      <c r="F9" s="17">
        <v>9</v>
      </c>
      <c r="G9" s="17">
        <v>15</v>
      </c>
      <c r="H9" s="17">
        <v>15</v>
      </c>
      <c r="I9" s="17">
        <v>18</v>
      </c>
      <c r="J9" s="17">
        <v>18</v>
      </c>
      <c r="K9" s="17">
        <v>27</v>
      </c>
      <c r="L9" s="17">
        <v>27</v>
      </c>
      <c r="M9" s="17">
        <v>27</v>
      </c>
      <c r="N9" s="17">
        <v>10</v>
      </c>
      <c r="O9" s="17">
        <v>10</v>
      </c>
      <c r="P9" s="17">
        <v>16</v>
      </c>
      <c r="Q9" s="17">
        <v>16</v>
      </c>
      <c r="R9" s="17">
        <v>20</v>
      </c>
      <c r="S9" s="17">
        <v>20</v>
      </c>
      <c r="T9" s="17">
        <v>20</v>
      </c>
      <c r="U9" s="17">
        <v>25</v>
      </c>
      <c r="V9" s="17">
        <v>25</v>
      </c>
      <c r="W9" s="17">
        <v>25</v>
      </c>
    </row>
    <row r="10" spans="1:26" x14ac:dyDescent="0.2">
      <c r="A10" s="1" t="s">
        <v>171</v>
      </c>
      <c r="B10" s="17">
        <v>100</v>
      </c>
      <c r="C10" s="17">
        <v>100</v>
      </c>
      <c r="D10" s="17">
        <v>200</v>
      </c>
      <c r="E10" s="17">
        <v>200</v>
      </c>
      <c r="F10" s="17">
        <v>300</v>
      </c>
      <c r="G10" s="17">
        <v>200</v>
      </c>
      <c r="H10" s="17">
        <v>300</v>
      </c>
      <c r="I10" s="17">
        <v>300</v>
      </c>
      <c r="J10" s="17">
        <v>400</v>
      </c>
      <c r="K10" s="17">
        <v>400</v>
      </c>
      <c r="L10" s="17">
        <v>500</v>
      </c>
      <c r="M10" s="17">
        <v>600</v>
      </c>
      <c r="N10" s="17">
        <v>200</v>
      </c>
      <c r="O10" s="17">
        <v>300</v>
      </c>
      <c r="P10" s="17">
        <v>200</v>
      </c>
      <c r="Q10" s="17">
        <v>300</v>
      </c>
      <c r="R10" s="17">
        <v>300</v>
      </c>
      <c r="S10" s="17">
        <v>400</v>
      </c>
      <c r="T10" s="17">
        <v>500</v>
      </c>
      <c r="U10" s="17">
        <v>400</v>
      </c>
      <c r="V10" s="17">
        <v>500</v>
      </c>
      <c r="W10" s="17">
        <v>600</v>
      </c>
    </row>
    <row r="11" spans="1:26" x14ac:dyDescent="0.2">
      <c r="A11" s="1" t="s">
        <v>172</v>
      </c>
      <c r="B11" s="17">
        <v>51.2</v>
      </c>
      <c r="C11" s="17">
        <v>51.2</v>
      </c>
      <c r="D11" s="17">
        <v>51.2</v>
      </c>
      <c r="E11" s="17">
        <v>51.2</v>
      </c>
      <c r="F11" s="17">
        <v>51.2</v>
      </c>
      <c r="G11" s="17">
        <v>51.2</v>
      </c>
      <c r="H11" s="17">
        <v>51.2</v>
      </c>
      <c r="I11" s="17">
        <v>51.2</v>
      </c>
      <c r="J11" s="17">
        <v>51.2</v>
      </c>
      <c r="K11" s="17">
        <v>51.2</v>
      </c>
      <c r="L11" s="17">
        <v>51.2</v>
      </c>
      <c r="M11" s="17">
        <v>51.2</v>
      </c>
      <c r="N11" s="17">
        <v>51.2</v>
      </c>
      <c r="O11" s="17">
        <v>51.2</v>
      </c>
      <c r="P11" s="17">
        <v>51.2</v>
      </c>
      <c r="Q11" s="17">
        <v>51.2</v>
      </c>
      <c r="R11" s="17">
        <v>51.2</v>
      </c>
      <c r="S11" s="17">
        <v>51.2</v>
      </c>
      <c r="T11" s="17">
        <v>51.2</v>
      </c>
      <c r="U11" s="17">
        <v>51.2</v>
      </c>
      <c r="V11" s="17">
        <v>51.2</v>
      </c>
      <c r="W11" s="17">
        <v>51.2</v>
      </c>
    </row>
    <row r="12" spans="1:26" x14ac:dyDescent="0.2">
      <c r="A12" s="1" t="s">
        <v>173</v>
      </c>
      <c r="B12" s="17">
        <f t="shared" ref="B12:W12" si="0">B10*B11/1000</f>
        <v>5.12</v>
      </c>
      <c r="C12" s="17">
        <f t="shared" si="0"/>
        <v>5.12</v>
      </c>
      <c r="D12" s="17">
        <f t="shared" si="0"/>
        <v>10.24</v>
      </c>
      <c r="E12" s="17">
        <f t="shared" si="0"/>
        <v>10.24</v>
      </c>
      <c r="F12" s="17">
        <f t="shared" si="0"/>
        <v>15.36</v>
      </c>
      <c r="G12" s="17">
        <f t="shared" si="0"/>
        <v>10.24</v>
      </c>
      <c r="H12" s="17">
        <f t="shared" si="0"/>
        <v>15.36</v>
      </c>
      <c r="I12" s="17">
        <f t="shared" si="0"/>
        <v>15.36</v>
      </c>
      <c r="J12" s="17">
        <f t="shared" si="0"/>
        <v>20.48</v>
      </c>
      <c r="K12" s="17">
        <f t="shared" si="0"/>
        <v>20.48</v>
      </c>
      <c r="L12" s="17">
        <f t="shared" si="0"/>
        <v>25.6</v>
      </c>
      <c r="M12" s="17">
        <f t="shared" si="0"/>
        <v>30.72</v>
      </c>
      <c r="N12" s="17">
        <f t="shared" si="0"/>
        <v>10.24</v>
      </c>
      <c r="O12" s="17">
        <f t="shared" si="0"/>
        <v>15.36</v>
      </c>
      <c r="P12" s="17">
        <f t="shared" si="0"/>
        <v>10.24</v>
      </c>
      <c r="Q12" s="17">
        <f t="shared" si="0"/>
        <v>15.36</v>
      </c>
      <c r="R12" s="17">
        <f t="shared" si="0"/>
        <v>15.36</v>
      </c>
      <c r="S12" s="17">
        <f t="shared" si="0"/>
        <v>20.48</v>
      </c>
      <c r="T12" s="17">
        <f t="shared" si="0"/>
        <v>25.6</v>
      </c>
      <c r="U12" s="17">
        <f t="shared" si="0"/>
        <v>20.48</v>
      </c>
      <c r="V12" s="17">
        <f t="shared" si="0"/>
        <v>25.6</v>
      </c>
      <c r="W12" s="17">
        <f t="shared" si="0"/>
        <v>30.72</v>
      </c>
    </row>
    <row r="13" spans="1:26" x14ac:dyDescent="0.2">
      <c r="A13" s="1" t="s">
        <v>174</v>
      </c>
      <c r="B13" s="17">
        <v>35</v>
      </c>
      <c r="C13" s="17">
        <v>35</v>
      </c>
      <c r="D13" s="17">
        <v>70</v>
      </c>
      <c r="E13" s="17">
        <v>70</v>
      </c>
      <c r="F13" s="17">
        <v>70</v>
      </c>
      <c r="G13" s="17">
        <v>110</v>
      </c>
      <c r="H13" s="17">
        <v>110</v>
      </c>
      <c r="I13" s="17">
        <v>140</v>
      </c>
      <c r="J13" s="17">
        <v>140</v>
      </c>
      <c r="K13" s="17">
        <v>200</v>
      </c>
      <c r="L13" s="17">
        <v>200</v>
      </c>
      <c r="M13" s="17">
        <v>200</v>
      </c>
      <c r="N13" s="17">
        <v>70</v>
      </c>
      <c r="O13" s="17">
        <v>70</v>
      </c>
      <c r="P13" s="17">
        <v>110</v>
      </c>
      <c r="Q13" s="17">
        <v>110</v>
      </c>
      <c r="R13" s="17">
        <v>140</v>
      </c>
      <c r="S13" s="17">
        <v>140</v>
      </c>
      <c r="T13" s="17">
        <v>140</v>
      </c>
      <c r="U13" s="17">
        <v>200</v>
      </c>
      <c r="V13" s="17">
        <v>200</v>
      </c>
      <c r="W13" s="17">
        <v>200</v>
      </c>
    </row>
    <row r="14" spans="1:26" x14ac:dyDescent="0.2">
      <c r="A14" s="1" t="s">
        <v>175</v>
      </c>
      <c r="B14" s="18">
        <f t="shared" ref="B14:F14" si="1">B10*0.8/B13</f>
        <v>2.2857142857142856</v>
      </c>
      <c r="C14" s="18">
        <f t="shared" si="1"/>
        <v>2.2857142857142856</v>
      </c>
      <c r="D14" s="18">
        <f t="shared" si="1"/>
        <v>2.2857142857142856</v>
      </c>
      <c r="E14" s="18">
        <f t="shared" si="1"/>
        <v>2.2857142857142856</v>
      </c>
      <c r="F14" s="18">
        <f t="shared" si="1"/>
        <v>3.4285714285714284</v>
      </c>
      <c r="G14" s="18">
        <f>G10*0.8/(G13-10)</f>
        <v>1.6</v>
      </c>
      <c r="H14" s="18">
        <f t="shared" ref="H14:O14" si="2">H10*0.8/H13</f>
        <v>2.1818181818181817</v>
      </c>
      <c r="I14" s="18">
        <f t="shared" si="2"/>
        <v>1.7142857142857142</v>
      </c>
      <c r="J14" s="18">
        <f t="shared" si="2"/>
        <v>2.2857142857142856</v>
      </c>
      <c r="K14" s="18">
        <f t="shared" si="2"/>
        <v>1.6</v>
      </c>
      <c r="L14" s="18">
        <f t="shared" si="2"/>
        <v>2</v>
      </c>
      <c r="M14" s="18">
        <f t="shared" si="2"/>
        <v>2.4</v>
      </c>
      <c r="N14" s="18">
        <f t="shared" si="2"/>
        <v>2.2857142857142856</v>
      </c>
      <c r="O14" s="18">
        <f t="shared" si="2"/>
        <v>3.4285714285714284</v>
      </c>
      <c r="P14" s="18">
        <f t="shared" ref="P14:Q14" si="3">P10*0.8/(P13-10)</f>
        <v>1.6</v>
      </c>
      <c r="Q14" s="18">
        <f t="shared" si="3"/>
        <v>2.4</v>
      </c>
      <c r="R14" s="18">
        <f t="shared" ref="R14:W14" si="4">R10*0.8/R13</f>
        <v>1.7142857142857142</v>
      </c>
      <c r="S14" s="18">
        <f t="shared" si="4"/>
        <v>2.2857142857142856</v>
      </c>
      <c r="T14" s="18">
        <f t="shared" si="4"/>
        <v>2.8571428571428572</v>
      </c>
      <c r="U14" s="18">
        <f t="shared" si="4"/>
        <v>1.6</v>
      </c>
      <c r="V14" s="18">
        <f t="shared" si="4"/>
        <v>2</v>
      </c>
      <c r="W14" s="18">
        <f t="shared" si="4"/>
        <v>2.4</v>
      </c>
    </row>
    <row r="15" spans="1:26" x14ac:dyDescent="0.2">
      <c r="A15" s="1" t="s">
        <v>176</v>
      </c>
      <c r="B15" s="18">
        <f t="shared" ref="B15:W15" si="5">B10*0.95*0.96*B11/1000</f>
        <v>4.6694400000000007</v>
      </c>
      <c r="C15" s="18">
        <f t="shared" si="5"/>
        <v>4.6694400000000007</v>
      </c>
      <c r="D15" s="18">
        <f t="shared" si="5"/>
        <v>9.3388800000000014</v>
      </c>
      <c r="E15" s="18">
        <f t="shared" si="5"/>
        <v>9.3388800000000014</v>
      </c>
      <c r="F15" s="18">
        <f t="shared" si="5"/>
        <v>14.008319999999999</v>
      </c>
      <c r="G15" s="18">
        <f t="shared" si="5"/>
        <v>9.3388800000000014</v>
      </c>
      <c r="H15" s="18">
        <f t="shared" si="5"/>
        <v>14.008319999999999</v>
      </c>
      <c r="I15" s="18">
        <f t="shared" si="5"/>
        <v>14.008319999999999</v>
      </c>
      <c r="J15" s="18">
        <f t="shared" si="5"/>
        <v>18.677760000000003</v>
      </c>
      <c r="K15" s="18">
        <f t="shared" si="5"/>
        <v>18.677760000000003</v>
      </c>
      <c r="L15" s="18">
        <f t="shared" si="5"/>
        <v>23.347200000000001</v>
      </c>
      <c r="M15" s="18">
        <f t="shared" si="5"/>
        <v>28.016639999999999</v>
      </c>
      <c r="N15" s="18">
        <f t="shared" si="5"/>
        <v>9.3388800000000014</v>
      </c>
      <c r="O15" s="18">
        <f t="shared" si="5"/>
        <v>14.008319999999999</v>
      </c>
      <c r="P15" s="18">
        <f t="shared" si="5"/>
        <v>9.3388800000000014</v>
      </c>
      <c r="Q15" s="18">
        <f t="shared" si="5"/>
        <v>14.008319999999999</v>
      </c>
      <c r="R15" s="18">
        <f t="shared" si="5"/>
        <v>14.008319999999999</v>
      </c>
      <c r="S15" s="18">
        <f t="shared" si="5"/>
        <v>18.677760000000003</v>
      </c>
      <c r="T15" s="18">
        <f t="shared" si="5"/>
        <v>23.347200000000001</v>
      </c>
      <c r="U15" s="18">
        <f t="shared" si="5"/>
        <v>18.677760000000003</v>
      </c>
      <c r="V15" s="18">
        <f t="shared" si="5"/>
        <v>23.347200000000001</v>
      </c>
      <c r="W15" s="18">
        <f t="shared" si="5"/>
        <v>28.016639999999999</v>
      </c>
    </row>
    <row r="16" spans="1:26" x14ac:dyDescent="0.2">
      <c r="A16" s="1" t="s">
        <v>177</v>
      </c>
      <c r="B16" s="18">
        <f t="shared" ref="B16:W16" si="6">B10*0.95*0.95*B11/2000</f>
        <v>2.3104</v>
      </c>
      <c r="C16" s="18">
        <f t="shared" si="6"/>
        <v>2.3104</v>
      </c>
      <c r="D16" s="18">
        <f t="shared" si="6"/>
        <v>4.6208</v>
      </c>
      <c r="E16" s="18">
        <f t="shared" si="6"/>
        <v>4.6208</v>
      </c>
      <c r="F16" s="18">
        <f t="shared" si="6"/>
        <v>6.9312000000000005</v>
      </c>
      <c r="G16" s="18">
        <f t="shared" si="6"/>
        <v>4.6208</v>
      </c>
      <c r="H16" s="18">
        <f t="shared" si="6"/>
        <v>6.9312000000000005</v>
      </c>
      <c r="I16" s="18">
        <f t="shared" si="6"/>
        <v>6.9312000000000005</v>
      </c>
      <c r="J16" s="18">
        <f t="shared" si="6"/>
        <v>9.2416</v>
      </c>
      <c r="K16" s="18">
        <f t="shared" si="6"/>
        <v>9.2416</v>
      </c>
      <c r="L16" s="18">
        <f t="shared" si="6"/>
        <v>11.552</v>
      </c>
      <c r="M16" s="18">
        <f t="shared" si="6"/>
        <v>13.862400000000001</v>
      </c>
      <c r="N16" s="18">
        <f t="shared" si="6"/>
        <v>4.6208</v>
      </c>
      <c r="O16" s="18">
        <f t="shared" si="6"/>
        <v>6.9312000000000005</v>
      </c>
      <c r="P16" s="18">
        <f t="shared" si="6"/>
        <v>4.6208</v>
      </c>
      <c r="Q16" s="18">
        <f t="shared" si="6"/>
        <v>6.9312000000000005</v>
      </c>
      <c r="R16" s="18">
        <f t="shared" si="6"/>
        <v>6.9312000000000005</v>
      </c>
      <c r="S16" s="18">
        <f t="shared" si="6"/>
        <v>9.2416</v>
      </c>
      <c r="T16" s="18">
        <f t="shared" si="6"/>
        <v>11.552</v>
      </c>
      <c r="U16" s="18">
        <f t="shared" si="6"/>
        <v>9.2416</v>
      </c>
      <c r="V16" s="18">
        <f t="shared" si="6"/>
        <v>11.552</v>
      </c>
      <c r="W16" s="18">
        <f t="shared" si="6"/>
        <v>13.862400000000001</v>
      </c>
    </row>
    <row r="17" spans="1:23" x14ac:dyDescent="0.2">
      <c r="A17" s="1" t="s">
        <v>178</v>
      </c>
      <c r="B17" s="18"/>
      <c r="C17" s="18"/>
      <c r="D17" s="18">
        <f t="shared" ref="D17:W17" si="7">D10*0.95*0.95*D11/3000</f>
        <v>3.0805333333333333</v>
      </c>
      <c r="E17" s="18">
        <f t="shared" si="7"/>
        <v>3.0805333333333333</v>
      </c>
      <c r="F17" s="18">
        <f t="shared" si="7"/>
        <v>4.6208000000000009</v>
      </c>
      <c r="G17" s="18">
        <f t="shared" si="7"/>
        <v>3.0805333333333333</v>
      </c>
      <c r="H17" s="18">
        <f t="shared" si="7"/>
        <v>4.6208000000000009</v>
      </c>
      <c r="I17" s="18">
        <f t="shared" si="7"/>
        <v>4.6208000000000009</v>
      </c>
      <c r="J17" s="18">
        <f t="shared" si="7"/>
        <v>6.1610666666666667</v>
      </c>
      <c r="K17" s="18">
        <f t="shared" si="7"/>
        <v>6.1610666666666667</v>
      </c>
      <c r="L17" s="18">
        <f t="shared" si="7"/>
        <v>7.7013333333333334</v>
      </c>
      <c r="M17" s="18">
        <f t="shared" si="7"/>
        <v>9.2416000000000018</v>
      </c>
      <c r="N17" s="18">
        <f t="shared" si="7"/>
        <v>3.0805333333333333</v>
      </c>
      <c r="O17" s="18">
        <f t="shared" si="7"/>
        <v>4.6208000000000009</v>
      </c>
      <c r="P17" s="18">
        <f t="shared" si="7"/>
        <v>3.0805333333333333</v>
      </c>
      <c r="Q17" s="18">
        <f t="shared" si="7"/>
        <v>4.6208000000000009</v>
      </c>
      <c r="R17" s="18">
        <f t="shared" si="7"/>
        <v>4.6208000000000009</v>
      </c>
      <c r="S17" s="18">
        <f t="shared" si="7"/>
        <v>6.1610666666666667</v>
      </c>
      <c r="T17" s="18">
        <f t="shared" si="7"/>
        <v>7.7013333333333334</v>
      </c>
      <c r="U17" s="18">
        <f t="shared" si="7"/>
        <v>6.1610666666666667</v>
      </c>
      <c r="V17" s="18">
        <f t="shared" si="7"/>
        <v>7.7013333333333334</v>
      </c>
      <c r="W17" s="18">
        <f t="shared" si="7"/>
        <v>9.2416000000000018</v>
      </c>
    </row>
    <row r="18" spans="1:23" x14ac:dyDescent="0.2">
      <c r="A18" s="1" t="s">
        <v>179</v>
      </c>
      <c r="B18" s="18"/>
      <c r="C18" s="18"/>
      <c r="D18" s="18">
        <f t="shared" ref="D18:W18" si="8">D10*0.95*0.95*D11/4000</f>
        <v>2.3104</v>
      </c>
      <c r="E18" s="18">
        <f t="shared" si="8"/>
        <v>2.3104</v>
      </c>
      <c r="F18" s="18">
        <f t="shared" si="8"/>
        <v>3.4656000000000002</v>
      </c>
      <c r="G18" s="18">
        <f t="shared" si="8"/>
        <v>2.3104</v>
      </c>
      <c r="H18" s="18">
        <f t="shared" si="8"/>
        <v>3.4656000000000002</v>
      </c>
      <c r="I18" s="18">
        <f t="shared" si="8"/>
        <v>3.4656000000000002</v>
      </c>
      <c r="J18" s="18">
        <f t="shared" si="8"/>
        <v>4.6208</v>
      </c>
      <c r="K18" s="18">
        <f t="shared" si="8"/>
        <v>4.6208</v>
      </c>
      <c r="L18" s="18">
        <f t="shared" si="8"/>
        <v>5.7759999999999998</v>
      </c>
      <c r="M18" s="18">
        <f t="shared" si="8"/>
        <v>6.9312000000000005</v>
      </c>
      <c r="N18" s="18">
        <f t="shared" si="8"/>
        <v>2.3104</v>
      </c>
      <c r="O18" s="18">
        <f t="shared" si="8"/>
        <v>3.4656000000000002</v>
      </c>
      <c r="P18" s="18">
        <f t="shared" si="8"/>
        <v>2.3104</v>
      </c>
      <c r="Q18" s="18">
        <f t="shared" si="8"/>
        <v>3.4656000000000002</v>
      </c>
      <c r="R18" s="18">
        <f t="shared" si="8"/>
        <v>3.4656000000000002</v>
      </c>
      <c r="S18" s="18">
        <f t="shared" si="8"/>
        <v>4.6208</v>
      </c>
      <c r="T18" s="18">
        <f t="shared" si="8"/>
        <v>5.7759999999999998</v>
      </c>
      <c r="U18" s="18">
        <f t="shared" si="8"/>
        <v>4.6208</v>
      </c>
      <c r="V18" s="18">
        <f t="shared" si="8"/>
        <v>5.7759999999999998</v>
      </c>
      <c r="W18" s="18">
        <f t="shared" si="8"/>
        <v>6.9312000000000005</v>
      </c>
    </row>
    <row r="19" spans="1:23" x14ac:dyDescent="0.2">
      <c r="A19" s="1" t="s">
        <v>180</v>
      </c>
      <c r="B19" s="18"/>
      <c r="C19" s="18"/>
      <c r="D19" s="18"/>
      <c r="E19" s="18"/>
      <c r="F19" s="18"/>
      <c r="G19" s="18">
        <f t="shared" ref="G19:M19" si="9">G10*0.95*0.95*G11/5000</f>
        <v>1.84832</v>
      </c>
      <c r="H19" s="18">
        <f t="shared" si="9"/>
        <v>2.7724800000000003</v>
      </c>
      <c r="I19" s="18">
        <f t="shared" si="9"/>
        <v>2.7724800000000003</v>
      </c>
      <c r="J19" s="18">
        <f t="shared" si="9"/>
        <v>3.6966399999999999</v>
      </c>
      <c r="K19" s="18">
        <f t="shared" si="9"/>
        <v>3.6966399999999999</v>
      </c>
      <c r="L19" s="18">
        <f t="shared" si="9"/>
        <v>4.6208</v>
      </c>
      <c r="M19" s="18">
        <f t="shared" si="9"/>
        <v>5.5449600000000006</v>
      </c>
      <c r="N19" s="18"/>
      <c r="O19" s="18"/>
      <c r="P19" s="18">
        <f t="shared" ref="P19:W19" si="10">P10*0.95*0.95*P11/5000</f>
        <v>1.84832</v>
      </c>
      <c r="Q19" s="18">
        <f t="shared" si="10"/>
        <v>2.7724800000000003</v>
      </c>
      <c r="R19" s="18">
        <f t="shared" si="10"/>
        <v>2.7724800000000003</v>
      </c>
      <c r="S19" s="18">
        <f t="shared" si="10"/>
        <v>3.6966399999999999</v>
      </c>
      <c r="T19" s="18">
        <f t="shared" si="10"/>
        <v>4.6208</v>
      </c>
      <c r="U19" s="18">
        <f t="shared" si="10"/>
        <v>3.6966399999999999</v>
      </c>
      <c r="V19" s="18">
        <f t="shared" si="10"/>
        <v>4.6208</v>
      </c>
      <c r="W19" s="18">
        <f t="shared" si="10"/>
        <v>5.5449600000000006</v>
      </c>
    </row>
    <row r="20" spans="1:23" x14ac:dyDescent="0.2">
      <c r="A20" s="1" t="s">
        <v>181</v>
      </c>
      <c r="B20" s="18"/>
      <c r="C20" s="18"/>
      <c r="D20" s="18"/>
      <c r="E20" s="18"/>
      <c r="F20" s="18"/>
      <c r="G20" s="18">
        <f t="shared" ref="G20:M20" si="11">G10*0.95*0.95*G11/6000</f>
        <v>1.5402666666666667</v>
      </c>
      <c r="H20" s="18">
        <f t="shared" si="11"/>
        <v>2.3104000000000005</v>
      </c>
      <c r="I20" s="18">
        <f t="shared" si="11"/>
        <v>2.3104000000000005</v>
      </c>
      <c r="J20" s="18">
        <f t="shared" si="11"/>
        <v>3.0805333333333333</v>
      </c>
      <c r="K20" s="18">
        <f t="shared" si="11"/>
        <v>3.0805333333333333</v>
      </c>
      <c r="L20" s="18">
        <f t="shared" si="11"/>
        <v>3.8506666666666667</v>
      </c>
      <c r="M20" s="18">
        <f t="shared" si="11"/>
        <v>4.6208000000000009</v>
      </c>
      <c r="N20" s="18"/>
      <c r="O20" s="18"/>
      <c r="P20" s="18">
        <f t="shared" ref="P20:W20" si="12">P10*0.95*0.95*P11/6000</f>
        <v>1.5402666666666667</v>
      </c>
      <c r="Q20" s="18">
        <f t="shared" si="12"/>
        <v>2.3104000000000005</v>
      </c>
      <c r="R20" s="18">
        <f t="shared" si="12"/>
        <v>2.3104000000000005</v>
      </c>
      <c r="S20" s="18">
        <f t="shared" si="12"/>
        <v>3.0805333333333333</v>
      </c>
      <c r="T20" s="18">
        <f t="shared" si="12"/>
        <v>3.8506666666666667</v>
      </c>
      <c r="U20" s="18">
        <f t="shared" si="12"/>
        <v>3.0805333333333333</v>
      </c>
      <c r="V20" s="18">
        <f t="shared" si="12"/>
        <v>3.8506666666666667</v>
      </c>
      <c r="W20" s="18">
        <f t="shared" si="12"/>
        <v>4.6208000000000009</v>
      </c>
    </row>
    <row r="21" spans="1:23" x14ac:dyDescent="0.2">
      <c r="A21" s="1" t="s">
        <v>182</v>
      </c>
      <c r="B21" s="18"/>
      <c r="C21" s="18"/>
      <c r="D21" s="18"/>
      <c r="E21" s="18"/>
      <c r="F21" s="18"/>
      <c r="G21" s="18"/>
      <c r="H21" s="18"/>
      <c r="I21" s="18">
        <f t="shared" ref="I21:M21" si="13">I10*0.95*0.95*I11/8000</f>
        <v>1.7328000000000001</v>
      </c>
      <c r="J21" s="18">
        <f t="shared" si="13"/>
        <v>2.3104</v>
      </c>
      <c r="K21" s="18">
        <f t="shared" si="13"/>
        <v>2.3104</v>
      </c>
      <c r="L21" s="18">
        <f t="shared" si="13"/>
        <v>2.8879999999999999</v>
      </c>
      <c r="M21" s="18">
        <f t="shared" si="13"/>
        <v>3.4656000000000002</v>
      </c>
      <c r="N21" s="18"/>
      <c r="O21" s="18"/>
      <c r="P21" s="18"/>
      <c r="Q21" s="18"/>
      <c r="R21" s="18">
        <f t="shared" ref="R21:W21" si="14">R10*0.95*0.95*R11/8000</f>
        <v>1.7328000000000001</v>
      </c>
      <c r="S21" s="18">
        <f t="shared" si="14"/>
        <v>2.3104</v>
      </c>
      <c r="T21" s="18">
        <f t="shared" si="14"/>
        <v>2.8879999999999999</v>
      </c>
      <c r="U21" s="18">
        <f t="shared" si="14"/>
        <v>2.3104</v>
      </c>
      <c r="V21" s="18">
        <f t="shared" si="14"/>
        <v>2.8879999999999999</v>
      </c>
      <c r="W21" s="18">
        <f t="shared" si="14"/>
        <v>3.4656000000000002</v>
      </c>
    </row>
    <row r="22" spans="1:23" x14ac:dyDescent="0.2">
      <c r="A22" s="1" t="s">
        <v>183</v>
      </c>
      <c r="B22" s="18"/>
      <c r="C22" s="18"/>
      <c r="D22" s="18"/>
      <c r="E22" s="18"/>
      <c r="F22" s="18"/>
      <c r="G22" s="18"/>
      <c r="H22" s="18"/>
      <c r="I22" s="18"/>
      <c r="J22" s="18"/>
      <c r="K22" s="18">
        <f t="shared" ref="K22:M22" si="15">K10*0.95*0.95*K11/10000</f>
        <v>1.84832</v>
      </c>
      <c r="L22" s="18">
        <f t="shared" si="15"/>
        <v>2.3104</v>
      </c>
      <c r="M22" s="18">
        <f t="shared" si="15"/>
        <v>2.7724800000000003</v>
      </c>
      <c r="N22" s="18"/>
      <c r="O22" s="18"/>
      <c r="P22" s="18"/>
      <c r="Q22" s="18"/>
      <c r="R22" s="18"/>
      <c r="S22" s="18"/>
      <c r="T22" s="18"/>
      <c r="U22" s="18">
        <f t="shared" ref="U22:W22" si="16">U10*0.95*0.95*U11/10000</f>
        <v>1.84832</v>
      </c>
      <c r="V22" s="18">
        <f t="shared" si="16"/>
        <v>2.3104</v>
      </c>
      <c r="W22" s="18">
        <f t="shared" si="16"/>
        <v>2.7724800000000003</v>
      </c>
    </row>
    <row r="23" spans="1:23" x14ac:dyDescent="0.2">
      <c r="A23" s="1" t="s">
        <v>184</v>
      </c>
      <c r="B23" s="17">
        <v>6000</v>
      </c>
      <c r="C23" s="17">
        <v>6000</v>
      </c>
      <c r="D23" s="17">
        <v>6000</v>
      </c>
      <c r="E23" s="17">
        <v>6000</v>
      </c>
      <c r="F23" s="17">
        <v>6000</v>
      </c>
      <c r="G23" s="17">
        <v>6000</v>
      </c>
      <c r="H23" s="17">
        <v>6000</v>
      </c>
      <c r="I23" s="17">
        <v>6000</v>
      </c>
      <c r="J23" s="17">
        <v>6000</v>
      </c>
      <c r="K23" s="17">
        <v>6000</v>
      </c>
      <c r="L23" s="17">
        <v>6000</v>
      </c>
      <c r="M23" s="17">
        <v>6000</v>
      </c>
      <c r="N23" s="17">
        <v>6000</v>
      </c>
      <c r="O23" s="17">
        <v>6000</v>
      </c>
      <c r="P23" s="17">
        <v>6000</v>
      </c>
      <c r="Q23" s="17">
        <v>6000</v>
      </c>
      <c r="R23" s="17">
        <v>6000</v>
      </c>
      <c r="S23" s="17">
        <v>6000</v>
      </c>
      <c r="T23" s="17">
        <v>6000</v>
      </c>
      <c r="U23" s="17">
        <v>6000</v>
      </c>
      <c r="V23" s="17">
        <v>6000</v>
      </c>
      <c r="W23" s="17">
        <v>6000</v>
      </c>
    </row>
    <row r="24" spans="1:23" x14ac:dyDescent="0.2">
      <c r="A24" s="1" t="s">
        <v>185</v>
      </c>
      <c r="B24" s="17">
        <v>15</v>
      </c>
      <c r="C24" s="17">
        <v>15</v>
      </c>
      <c r="D24" s="17">
        <v>15</v>
      </c>
      <c r="E24" s="17">
        <v>15</v>
      </c>
      <c r="F24" s="17">
        <v>15</v>
      </c>
      <c r="G24" s="17">
        <v>15</v>
      </c>
      <c r="H24" s="17">
        <v>15</v>
      </c>
      <c r="I24" s="17">
        <v>15</v>
      </c>
      <c r="J24" s="17">
        <v>15</v>
      </c>
      <c r="K24" s="17">
        <v>15</v>
      </c>
      <c r="L24" s="17">
        <v>15</v>
      </c>
      <c r="M24" s="17">
        <v>15</v>
      </c>
      <c r="N24" s="17">
        <v>15</v>
      </c>
      <c r="O24" s="17">
        <v>15</v>
      </c>
      <c r="P24" s="17">
        <v>15</v>
      </c>
      <c r="Q24" s="17">
        <v>15</v>
      </c>
      <c r="R24" s="17">
        <v>15</v>
      </c>
      <c r="S24" s="17">
        <v>15</v>
      </c>
      <c r="T24" s="17">
        <v>15</v>
      </c>
      <c r="U24" s="17">
        <v>15</v>
      </c>
      <c r="V24" s="17">
        <v>15</v>
      </c>
      <c r="W24" s="17">
        <v>15</v>
      </c>
    </row>
    <row r="25" spans="1:23" x14ac:dyDescent="0.2">
      <c r="A25" s="1" t="s">
        <v>186</v>
      </c>
      <c r="B25" s="17" t="s">
        <v>187</v>
      </c>
      <c r="C25" s="17" t="s">
        <v>187</v>
      </c>
      <c r="D25" s="17" t="s">
        <v>187</v>
      </c>
      <c r="E25" s="17" t="s">
        <v>187</v>
      </c>
      <c r="F25" s="17" t="s">
        <v>187</v>
      </c>
      <c r="G25" s="17" t="s">
        <v>187</v>
      </c>
      <c r="H25" s="17" t="s">
        <v>187</v>
      </c>
      <c r="I25" s="17" t="s">
        <v>187</v>
      </c>
      <c r="J25" s="17" t="s">
        <v>187</v>
      </c>
      <c r="K25" s="17" t="s">
        <v>187</v>
      </c>
      <c r="L25" s="17" t="s">
        <v>187</v>
      </c>
      <c r="M25" s="17" t="s">
        <v>187</v>
      </c>
      <c r="N25" s="17" t="s">
        <v>187</v>
      </c>
      <c r="O25" s="17" t="s">
        <v>187</v>
      </c>
      <c r="P25" s="17" t="s">
        <v>187</v>
      </c>
      <c r="Q25" s="17" t="s">
        <v>187</v>
      </c>
      <c r="R25" s="17" t="s">
        <v>187</v>
      </c>
      <c r="S25" s="17" t="s">
        <v>187</v>
      </c>
      <c r="T25" s="17" t="s">
        <v>187</v>
      </c>
      <c r="U25" s="17" t="s">
        <v>187</v>
      </c>
      <c r="V25" s="17" t="s">
        <v>187</v>
      </c>
      <c r="W25" s="17" t="s">
        <v>187</v>
      </c>
    </row>
    <row r="26" spans="1:23" x14ac:dyDescent="0.2">
      <c r="A26" s="1" t="s">
        <v>188</v>
      </c>
      <c r="B26" s="17" t="s">
        <v>187</v>
      </c>
      <c r="C26" s="17" t="s">
        <v>187</v>
      </c>
      <c r="D26" s="17" t="s">
        <v>187</v>
      </c>
      <c r="E26" s="17" t="s">
        <v>187</v>
      </c>
      <c r="F26" s="17" t="s">
        <v>187</v>
      </c>
      <c r="G26" s="17" t="s">
        <v>187</v>
      </c>
      <c r="H26" s="17" t="s">
        <v>187</v>
      </c>
      <c r="I26" s="17" t="s">
        <v>187</v>
      </c>
      <c r="J26" s="17" t="s">
        <v>187</v>
      </c>
      <c r="K26" s="17" t="s">
        <v>187</v>
      </c>
      <c r="L26" s="17" t="s">
        <v>187</v>
      </c>
      <c r="M26" s="17" t="s">
        <v>187</v>
      </c>
      <c r="N26" s="17" t="s">
        <v>187</v>
      </c>
      <c r="O26" s="17" t="s">
        <v>187</v>
      </c>
      <c r="P26" s="17" t="s">
        <v>187</v>
      </c>
      <c r="Q26" s="17" t="s">
        <v>187</v>
      </c>
      <c r="R26" s="17" t="s">
        <v>187</v>
      </c>
      <c r="S26" s="17" t="s">
        <v>187</v>
      </c>
      <c r="T26" s="17" t="s">
        <v>187</v>
      </c>
      <c r="U26" s="17" t="s">
        <v>187</v>
      </c>
      <c r="V26" s="17" t="s">
        <v>187</v>
      </c>
      <c r="W26" s="17" t="s">
        <v>187</v>
      </c>
    </row>
    <row r="27" spans="1:23" x14ac:dyDescent="0.2">
      <c r="A27" s="1" t="s">
        <v>189</v>
      </c>
      <c r="B27" s="17" t="s">
        <v>190</v>
      </c>
      <c r="C27" s="17" t="s">
        <v>190</v>
      </c>
      <c r="D27" s="17" t="s">
        <v>190</v>
      </c>
      <c r="E27" s="17" t="s">
        <v>190</v>
      </c>
      <c r="F27" s="17" t="s">
        <v>190</v>
      </c>
      <c r="G27" s="17" t="s">
        <v>190</v>
      </c>
      <c r="H27" s="17" t="s">
        <v>190</v>
      </c>
      <c r="I27" s="17" t="s">
        <v>190</v>
      </c>
      <c r="J27" s="17" t="s">
        <v>190</v>
      </c>
      <c r="K27" s="17" t="s">
        <v>190</v>
      </c>
      <c r="L27" s="17" t="s">
        <v>190</v>
      </c>
      <c r="M27" s="17" t="s">
        <v>190</v>
      </c>
      <c r="N27" s="17" t="s">
        <v>191</v>
      </c>
      <c r="O27" s="17" t="s">
        <v>191</v>
      </c>
      <c r="P27" s="17" t="s">
        <v>191</v>
      </c>
      <c r="Q27" s="17" t="s">
        <v>191</v>
      </c>
      <c r="R27" s="17" t="s">
        <v>191</v>
      </c>
      <c r="S27" s="17" t="s">
        <v>191</v>
      </c>
      <c r="T27" s="17" t="s">
        <v>191</v>
      </c>
      <c r="U27" s="17" t="s">
        <v>191</v>
      </c>
      <c r="V27" s="17" t="s">
        <v>191</v>
      </c>
      <c r="W27" s="17" t="s">
        <v>191</v>
      </c>
    </row>
    <row r="28" spans="1:23" x14ac:dyDescent="0.2">
      <c r="A28" s="1" t="s">
        <v>192</v>
      </c>
      <c r="B28" s="17" t="s">
        <v>193</v>
      </c>
      <c r="C28" s="17" t="s">
        <v>187</v>
      </c>
      <c r="D28" s="17" t="s">
        <v>193</v>
      </c>
      <c r="E28" s="17" t="s">
        <v>187</v>
      </c>
      <c r="F28" s="17" t="s">
        <v>187</v>
      </c>
      <c r="G28" s="17" t="s">
        <v>187</v>
      </c>
      <c r="H28" s="17" t="s">
        <v>187</v>
      </c>
      <c r="I28" s="17" t="s">
        <v>187</v>
      </c>
      <c r="J28" s="17" t="s">
        <v>187</v>
      </c>
      <c r="K28" s="17" t="s">
        <v>187</v>
      </c>
      <c r="L28" s="17" t="s">
        <v>187</v>
      </c>
      <c r="M28" s="17" t="s">
        <v>187</v>
      </c>
      <c r="N28" s="17" t="s">
        <v>187</v>
      </c>
      <c r="O28" s="17" t="s">
        <v>187</v>
      </c>
      <c r="P28" s="17" t="s">
        <v>187</v>
      </c>
      <c r="Q28" s="17" t="s">
        <v>187</v>
      </c>
      <c r="R28" s="17" t="s">
        <v>187</v>
      </c>
      <c r="S28" s="17" t="s">
        <v>187</v>
      </c>
      <c r="T28" s="17" t="s">
        <v>187</v>
      </c>
      <c r="U28" s="17" t="s">
        <v>187</v>
      </c>
      <c r="V28" s="17" t="s">
        <v>187</v>
      </c>
      <c r="W28" s="17" t="s">
        <v>187</v>
      </c>
    </row>
    <row r="29" spans="1:23" x14ac:dyDescent="0.2">
      <c r="A29" s="1" t="s">
        <v>194</v>
      </c>
      <c r="B29" s="17" t="s">
        <v>193</v>
      </c>
      <c r="C29" s="17" t="s">
        <v>187</v>
      </c>
      <c r="D29" s="17" t="s">
        <v>193</v>
      </c>
      <c r="E29" s="17" t="s">
        <v>187</v>
      </c>
      <c r="F29" s="17" t="s">
        <v>187</v>
      </c>
      <c r="G29" s="17" t="s">
        <v>187</v>
      </c>
      <c r="H29" s="17" t="s">
        <v>187</v>
      </c>
      <c r="I29" s="17" t="s">
        <v>187</v>
      </c>
      <c r="J29" s="17" t="s">
        <v>187</v>
      </c>
      <c r="K29" s="17" t="s">
        <v>187</v>
      </c>
      <c r="L29" s="17" t="s">
        <v>187</v>
      </c>
      <c r="M29" s="17" t="s">
        <v>187</v>
      </c>
      <c r="N29" s="17" t="s">
        <v>187</v>
      </c>
      <c r="O29" s="17" t="s">
        <v>187</v>
      </c>
      <c r="P29" s="17" t="s">
        <v>187</v>
      </c>
      <c r="Q29" s="17" t="s">
        <v>187</v>
      </c>
      <c r="R29" s="17" t="s">
        <v>187</v>
      </c>
      <c r="S29" s="17" t="s">
        <v>187</v>
      </c>
      <c r="T29" s="17" t="s">
        <v>187</v>
      </c>
      <c r="U29" s="17" t="s">
        <v>187</v>
      </c>
      <c r="V29" s="17" t="s">
        <v>187</v>
      </c>
      <c r="W29" s="17" t="s">
        <v>187</v>
      </c>
    </row>
    <row r="30" spans="1:23" x14ac:dyDescent="0.2">
      <c r="A30" s="1" t="s">
        <v>195</v>
      </c>
      <c r="B30" s="17" t="s">
        <v>193</v>
      </c>
      <c r="C30" s="17" t="s">
        <v>187</v>
      </c>
      <c r="D30" s="17" t="s">
        <v>193</v>
      </c>
      <c r="E30" s="17" t="s">
        <v>187</v>
      </c>
      <c r="F30" s="17" t="s">
        <v>187</v>
      </c>
      <c r="G30" s="17" t="s">
        <v>187</v>
      </c>
      <c r="H30" s="17" t="s">
        <v>187</v>
      </c>
      <c r="I30" s="17" t="s">
        <v>187</v>
      </c>
      <c r="J30" s="17" t="s">
        <v>187</v>
      </c>
      <c r="K30" s="17" t="s">
        <v>187</v>
      </c>
      <c r="L30" s="17" t="s">
        <v>187</v>
      </c>
      <c r="M30" s="17" t="s">
        <v>187</v>
      </c>
      <c r="N30" s="17" t="s">
        <v>187</v>
      </c>
      <c r="O30" s="17" t="s">
        <v>187</v>
      </c>
      <c r="P30" s="17" t="s">
        <v>187</v>
      </c>
      <c r="Q30" s="17" t="s">
        <v>187</v>
      </c>
      <c r="R30" s="17" t="s">
        <v>187</v>
      </c>
      <c r="S30" s="17" t="s">
        <v>187</v>
      </c>
      <c r="T30" s="17" t="s">
        <v>187</v>
      </c>
      <c r="U30" s="17" t="s">
        <v>187</v>
      </c>
      <c r="V30" s="17" t="s">
        <v>187</v>
      </c>
      <c r="W30" s="17" t="s">
        <v>187</v>
      </c>
    </row>
    <row r="31" spans="1:23" x14ac:dyDescent="0.2">
      <c r="A31" s="1" t="s">
        <v>196</v>
      </c>
      <c r="B31" s="17" t="s">
        <v>193</v>
      </c>
      <c r="C31" s="17" t="s">
        <v>187</v>
      </c>
      <c r="D31" s="17" t="s">
        <v>193</v>
      </c>
      <c r="E31" s="17" t="s">
        <v>187</v>
      </c>
      <c r="F31" s="17" t="s">
        <v>187</v>
      </c>
      <c r="G31" s="17" t="s">
        <v>187</v>
      </c>
      <c r="H31" s="17" t="s">
        <v>187</v>
      </c>
      <c r="I31" s="17" t="s">
        <v>187</v>
      </c>
      <c r="J31" s="17" t="s">
        <v>187</v>
      </c>
      <c r="K31" s="17" t="s">
        <v>187</v>
      </c>
      <c r="L31" s="17" t="s">
        <v>187</v>
      </c>
      <c r="M31" s="17" t="s">
        <v>187</v>
      </c>
      <c r="N31" s="17" t="s">
        <v>187</v>
      </c>
      <c r="O31" s="17" t="s">
        <v>187</v>
      </c>
      <c r="P31" s="17" t="s">
        <v>187</v>
      </c>
      <c r="Q31" s="17" t="s">
        <v>187</v>
      </c>
      <c r="R31" s="17" t="s">
        <v>187</v>
      </c>
      <c r="S31" s="17" t="s">
        <v>187</v>
      </c>
      <c r="T31" s="17" t="s">
        <v>187</v>
      </c>
      <c r="U31" s="17" t="s">
        <v>187</v>
      </c>
      <c r="V31" s="17" t="s">
        <v>187</v>
      </c>
      <c r="W31" s="17" t="s">
        <v>187</v>
      </c>
    </row>
    <row r="32" spans="1:23" x14ac:dyDescent="0.2">
      <c r="A32" s="1" t="s">
        <v>197</v>
      </c>
      <c r="B32" s="17" t="s">
        <v>198</v>
      </c>
      <c r="C32" s="17" t="s">
        <v>198</v>
      </c>
      <c r="D32" s="17" t="s">
        <v>198</v>
      </c>
      <c r="E32" s="17" t="s">
        <v>198</v>
      </c>
      <c r="F32" s="17" t="s">
        <v>198</v>
      </c>
      <c r="G32" s="17" t="s">
        <v>198</v>
      </c>
      <c r="H32" s="17" t="s">
        <v>198</v>
      </c>
      <c r="I32" s="17" t="s">
        <v>198</v>
      </c>
      <c r="J32" s="17" t="s">
        <v>198</v>
      </c>
      <c r="K32" s="17" t="s">
        <v>198</v>
      </c>
      <c r="L32" s="17" t="s">
        <v>198</v>
      </c>
      <c r="M32" s="17" t="s">
        <v>198</v>
      </c>
      <c r="N32" s="17" t="s">
        <v>198</v>
      </c>
      <c r="O32" s="17" t="s">
        <v>198</v>
      </c>
      <c r="P32" s="17" t="s">
        <v>198</v>
      </c>
      <c r="Q32" s="17" t="s">
        <v>198</v>
      </c>
      <c r="R32" s="17" t="s">
        <v>198</v>
      </c>
      <c r="S32" s="17" t="s">
        <v>198</v>
      </c>
      <c r="T32" s="17" t="s">
        <v>198</v>
      </c>
      <c r="U32" s="17" t="s">
        <v>198</v>
      </c>
      <c r="V32" s="17" t="s">
        <v>198</v>
      </c>
      <c r="W32" s="17" t="s">
        <v>198</v>
      </c>
    </row>
    <row r="33" spans="1:23" x14ac:dyDescent="0.2">
      <c r="A33" s="1" t="s">
        <v>199</v>
      </c>
      <c r="B33" s="17">
        <v>96</v>
      </c>
      <c r="C33" s="17">
        <v>96</v>
      </c>
      <c r="D33" s="17">
        <v>96</v>
      </c>
      <c r="E33" s="17">
        <v>96</v>
      </c>
      <c r="F33" s="17">
        <v>96</v>
      </c>
      <c r="G33" s="17">
        <v>95</v>
      </c>
      <c r="H33" s="17">
        <v>95</v>
      </c>
      <c r="I33" s="17">
        <v>96</v>
      </c>
      <c r="J33" s="17">
        <v>96</v>
      </c>
      <c r="K33" s="17">
        <v>95</v>
      </c>
      <c r="L33" s="17">
        <v>95</v>
      </c>
      <c r="M33" s="17">
        <v>95</v>
      </c>
      <c r="N33" s="17">
        <v>96</v>
      </c>
      <c r="O33" s="17">
        <v>96</v>
      </c>
      <c r="P33" s="17">
        <v>95</v>
      </c>
      <c r="Q33" s="17">
        <v>95</v>
      </c>
      <c r="R33" s="17">
        <v>96</v>
      </c>
      <c r="S33" s="17">
        <v>96</v>
      </c>
      <c r="T33" s="17">
        <v>96</v>
      </c>
      <c r="U33" s="17">
        <v>95</v>
      </c>
      <c r="V33" s="17">
        <v>95</v>
      </c>
      <c r="W33" s="17">
        <v>95</v>
      </c>
    </row>
    <row r="34" spans="1:23" x14ac:dyDescent="0.2">
      <c r="A34" s="1" t="s">
        <v>200</v>
      </c>
      <c r="B34" s="17" t="s">
        <v>187</v>
      </c>
      <c r="C34" s="17" t="s">
        <v>187</v>
      </c>
      <c r="D34" s="17" t="s">
        <v>187</v>
      </c>
      <c r="E34" s="17" t="s">
        <v>187</v>
      </c>
      <c r="F34" s="17" t="s">
        <v>187</v>
      </c>
      <c r="G34" s="17" t="s">
        <v>187</v>
      </c>
      <c r="H34" s="17" t="s">
        <v>187</v>
      </c>
      <c r="I34" s="17" t="s">
        <v>187</v>
      </c>
      <c r="J34" s="17" t="s">
        <v>187</v>
      </c>
      <c r="K34" s="17" t="s">
        <v>187</v>
      </c>
      <c r="L34" s="17" t="s">
        <v>187</v>
      </c>
      <c r="M34" s="17" t="s">
        <v>187</v>
      </c>
      <c r="N34" s="17" t="s">
        <v>187</v>
      </c>
      <c r="O34" s="17" t="s">
        <v>187</v>
      </c>
      <c r="P34" s="17" t="s">
        <v>187</v>
      </c>
      <c r="Q34" s="17" t="s">
        <v>187</v>
      </c>
      <c r="R34" s="17" t="s">
        <v>187</v>
      </c>
      <c r="S34" s="17" t="s">
        <v>187</v>
      </c>
      <c r="T34" s="17" t="s">
        <v>187</v>
      </c>
      <c r="U34" s="17" t="s">
        <v>187</v>
      </c>
      <c r="V34" s="17" t="s">
        <v>187</v>
      </c>
      <c r="W34" s="17" t="s">
        <v>187</v>
      </c>
    </row>
    <row r="35" spans="1:23" x14ac:dyDescent="0.2">
      <c r="A35" s="1" t="s">
        <v>201</v>
      </c>
      <c r="B35" s="17" t="s">
        <v>202</v>
      </c>
      <c r="C35" s="17" t="s">
        <v>202</v>
      </c>
      <c r="D35" s="17" t="s">
        <v>202</v>
      </c>
      <c r="E35" s="17" t="s">
        <v>202</v>
      </c>
      <c r="F35" s="17" t="s">
        <v>202</v>
      </c>
      <c r="G35" s="17" t="s">
        <v>202</v>
      </c>
      <c r="H35" s="17" t="s">
        <v>202</v>
      </c>
      <c r="I35" s="17" t="s">
        <v>202</v>
      </c>
      <c r="J35" s="17" t="s">
        <v>202</v>
      </c>
      <c r="K35" s="17" t="s">
        <v>202</v>
      </c>
      <c r="L35" s="17" t="s">
        <v>202</v>
      </c>
      <c r="M35" s="17" t="s">
        <v>202</v>
      </c>
      <c r="N35" s="17" t="s">
        <v>202</v>
      </c>
      <c r="O35" s="17" t="s">
        <v>202</v>
      </c>
      <c r="P35" s="17" t="s">
        <v>202</v>
      </c>
      <c r="Q35" s="17" t="s">
        <v>202</v>
      </c>
      <c r="R35" s="17" t="s">
        <v>202</v>
      </c>
      <c r="S35" s="17" t="s">
        <v>202</v>
      </c>
      <c r="T35" s="17" t="s">
        <v>202</v>
      </c>
      <c r="U35" s="17" t="s">
        <v>202</v>
      </c>
      <c r="V35" s="17" t="s">
        <v>202</v>
      </c>
      <c r="W35" s="17" t="s">
        <v>202</v>
      </c>
    </row>
    <row r="36" spans="1:23" x14ac:dyDescent="0.2">
      <c r="A36" s="1" t="s">
        <v>203</v>
      </c>
      <c r="B36" s="17">
        <f t="shared" ref="B36:W36" si="17">55</f>
        <v>55</v>
      </c>
      <c r="C36" s="17">
        <f t="shared" si="17"/>
        <v>55</v>
      </c>
      <c r="D36" s="17">
        <f t="shared" si="17"/>
        <v>55</v>
      </c>
      <c r="E36" s="17">
        <f t="shared" si="17"/>
        <v>55</v>
      </c>
      <c r="F36" s="17">
        <f t="shared" si="17"/>
        <v>55</v>
      </c>
      <c r="G36" s="17">
        <f t="shared" si="17"/>
        <v>55</v>
      </c>
      <c r="H36" s="17">
        <f t="shared" si="17"/>
        <v>55</v>
      </c>
      <c r="I36" s="17">
        <f t="shared" si="17"/>
        <v>55</v>
      </c>
      <c r="J36" s="17">
        <f t="shared" si="17"/>
        <v>55</v>
      </c>
      <c r="K36" s="17">
        <f t="shared" si="17"/>
        <v>55</v>
      </c>
      <c r="L36" s="17">
        <f t="shared" si="17"/>
        <v>55</v>
      </c>
      <c r="M36" s="17">
        <f t="shared" si="17"/>
        <v>55</v>
      </c>
      <c r="N36" s="17">
        <f t="shared" si="17"/>
        <v>55</v>
      </c>
      <c r="O36" s="17">
        <f t="shared" si="17"/>
        <v>55</v>
      </c>
      <c r="P36" s="17">
        <f t="shared" si="17"/>
        <v>55</v>
      </c>
      <c r="Q36" s="17">
        <f t="shared" si="17"/>
        <v>55</v>
      </c>
      <c r="R36" s="17">
        <f t="shared" si="17"/>
        <v>55</v>
      </c>
      <c r="S36" s="17">
        <f t="shared" si="17"/>
        <v>55</v>
      </c>
      <c r="T36" s="17">
        <f t="shared" si="17"/>
        <v>55</v>
      </c>
      <c r="U36" s="17">
        <f t="shared" si="17"/>
        <v>55</v>
      </c>
      <c r="V36" s="17">
        <f t="shared" si="17"/>
        <v>55</v>
      </c>
      <c r="W36" s="17">
        <f t="shared" si="17"/>
        <v>55</v>
      </c>
    </row>
    <row r="37" spans="1:23" x14ac:dyDescent="0.2">
      <c r="A37" s="1" t="s">
        <v>204</v>
      </c>
      <c r="B37" s="17">
        <f t="shared" ref="B37:W37" si="18">5</f>
        <v>5</v>
      </c>
      <c r="C37" s="17">
        <f t="shared" si="18"/>
        <v>5</v>
      </c>
      <c r="D37" s="17">
        <f t="shared" si="18"/>
        <v>5</v>
      </c>
      <c r="E37" s="17">
        <f t="shared" si="18"/>
        <v>5</v>
      </c>
      <c r="F37" s="17">
        <f t="shared" si="18"/>
        <v>5</v>
      </c>
      <c r="G37" s="17">
        <f t="shared" si="18"/>
        <v>5</v>
      </c>
      <c r="H37" s="17">
        <f t="shared" si="18"/>
        <v>5</v>
      </c>
      <c r="I37" s="17">
        <f t="shared" si="18"/>
        <v>5</v>
      </c>
      <c r="J37" s="17">
        <f t="shared" si="18"/>
        <v>5</v>
      </c>
      <c r="K37" s="17">
        <f t="shared" si="18"/>
        <v>5</v>
      </c>
      <c r="L37" s="17">
        <f t="shared" si="18"/>
        <v>5</v>
      </c>
      <c r="M37" s="17">
        <f t="shared" si="18"/>
        <v>5</v>
      </c>
      <c r="N37" s="17">
        <f t="shared" si="18"/>
        <v>5</v>
      </c>
      <c r="O37" s="17">
        <f t="shared" si="18"/>
        <v>5</v>
      </c>
      <c r="P37" s="17">
        <f t="shared" si="18"/>
        <v>5</v>
      </c>
      <c r="Q37" s="17">
        <f t="shared" si="18"/>
        <v>5</v>
      </c>
      <c r="R37" s="17">
        <f t="shared" si="18"/>
        <v>5</v>
      </c>
      <c r="S37" s="17">
        <f t="shared" si="18"/>
        <v>5</v>
      </c>
      <c r="T37" s="17">
        <f t="shared" si="18"/>
        <v>5</v>
      </c>
      <c r="U37" s="17">
        <f t="shared" si="18"/>
        <v>5</v>
      </c>
      <c r="V37" s="17">
        <f t="shared" si="18"/>
        <v>5</v>
      </c>
      <c r="W37" s="17">
        <f t="shared" si="18"/>
        <v>5</v>
      </c>
    </row>
    <row r="38" spans="1:23" x14ac:dyDescent="0.2">
      <c r="A38" s="1" t="s">
        <v>205</v>
      </c>
      <c r="B38" s="17">
        <v>55</v>
      </c>
      <c r="C38" s="17">
        <v>55</v>
      </c>
      <c r="D38" s="17">
        <v>55</v>
      </c>
      <c r="E38" s="17">
        <v>55</v>
      </c>
      <c r="F38" s="17">
        <v>55</v>
      </c>
      <c r="G38" s="17">
        <v>55</v>
      </c>
      <c r="H38" s="17">
        <v>55</v>
      </c>
      <c r="I38" s="17">
        <v>55</v>
      </c>
      <c r="J38" s="17">
        <v>55</v>
      </c>
      <c r="K38" s="17">
        <v>55</v>
      </c>
      <c r="L38" s="17">
        <v>55</v>
      </c>
      <c r="M38" s="17">
        <v>55</v>
      </c>
      <c r="N38" s="17">
        <v>55</v>
      </c>
      <c r="O38" s="17">
        <v>55</v>
      </c>
      <c r="P38" s="17">
        <v>55</v>
      </c>
      <c r="Q38" s="17">
        <v>55</v>
      </c>
      <c r="R38" s="17">
        <v>55</v>
      </c>
      <c r="S38" s="17">
        <v>55</v>
      </c>
      <c r="T38" s="17">
        <v>55</v>
      </c>
      <c r="U38" s="17">
        <v>55</v>
      </c>
      <c r="V38" s="17">
        <v>55</v>
      </c>
      <c r="W38" s="17">
        <v>55</v>
      </c>
    </row>
    <row r="39" spans="1:23" x14ac:dyDescent="0.2">
      <c r="A39" s="1" t="s">
        <v>206</v>
      </c>
      <c r="B39" s="17" t="s">
        <v>207</v>
      </c>
      <c r="C39" s="17" t="s">
        <v>207</v>
      </c>
      <c r="D39" s="17" t="s">
        <v>207</v>
      </c>
      <c r="E39" s="17" t="s">
        <v>207</v>
      </c>
      <c r="F39" s="17" t="s">
        <v>207</v>
      </c>
      <c r="G39" s="17" t="s">
        <v>207</v>
      </c>
      <c r="H39" s="17" t="s">
        <v>207</v>
      </c>
      <c r="I39" s="17" t="s">
        <v>207</v>
      </c>
      <c r="J39" s="17" t="s">
        <v>207</v>
      </c>
      <c r="K39" s="17" t="s">
        <v>207</v>
      </c>
      <c r="L39" s="17" t="s">
        <v>207</v>
      </c>
      <c r="M39" s="17" t="s">
        <v>207</v>
      </c>
      <c r="N39" s="17" t="s">
        <v>207</v>
      </c>
      <c r="O39" s="17" t="s">
        <v>207</v>
      </c>
      <c r="P39" s="17" t="s">
        <v>207</v>
      </c>
      <c r="Q39" s="17" t="s">
        <v>207</v>
      </c>
      <c r="R39" s="17" t="s">
        <v>207</v>
      </c>
      <c r="S39" s="17" t="s">
        <v>207</v>
      </c>
      <c r="T39" s="17" t="s">
        <v>207</v>
      </c>
      <c r="U39" s="17" t="s">
        <v>207</v>
      </c>
      <c r="V39" s="17" t="s">
        <v>207</v>
      </c>
      <c r="W39" s="17" t="s">
        <v>207</v>
      </c>
    </row>
    <row r="40" spans="1:23" x14ac:dyDescent="0.2">
      <c r="B40" s="17" t="s">
        <v>208</v>
      </c>
      <c r="C40" s="17" t="s">
        <v>208</v>
      </c>
      <c r="D40" s="17" t="s">
        <v>208</v>
      </c>
      <c r="E40" s="17" t="s">
        <v>208</v>
      </c>
      <c r="F40" s="17" t="s">
        <v>208</v>
      </c>
      <c r="G40" s="17" t="s">
        <v>208</v>
      </c>
      <c r="H40" s="17" t="s">
        <v>208</v>
      </c>
      <c r="I40" s="17" t="s">
        <v>208</v>
      </c>
      <c r="J40" s="17" t="s">
        <v>208</v>
      </c>
      <c r="K40" s="17" t="s">
        <v>208</v>
      </c>
      <c r="L40" s="17" t="s">
        <v>208</v>
      </c>
      <c r="M40" s="17" t="s">
        <v>208</v>
      </c>
      <c r="N40" s="17" t="s">
        <v>208</v>
      </c>
      <c r="O40" s="17" t="s">
        <v>208</v>
      </c>
      <c r="P40" s="17" t="s">
        <v>208</v>
      </c>
      <c r="Q40" s="17" t="s">
        <v>208</v>
      </c>
      <c r="R40" s="17" t="s">
        <v>208</v>
      </c>
      <c r="S40" s="17" t="s">
        <v>208</v>
      </c>
      <c r="T40" s="17" t="s">
        <v>208</v>
      </c>
      <c r="U40" s="17" t="s">
        <v>208</v>
      </c>
      <c r="V40" s="17" t="s">
        <v>208</v>
      </c>
      <c r="W40" s="17" t="s">
        <v>208</v>
      </c>
    </row>
    <row r="41" spans="1:23" x14ac:dyDescent="0.2">
      <c r="A41" s="1" t="s">
        <v>209</v>
      </c>
      <c r="B41" s="17" t="s">
        <v>210</v>
      </c>
      <c r="C41" s="17" t="s">
        <v>210</v>
      </c>
      <c r="D41" s="17" t="s">
        <v>210</v>
      </c>
      <c r="E41" s="17" t="s">
        <v>210</v>
      </c>
      <c r="F41" s="17" t="s">
        <v>210</v>
      </c>
      <c r="G41" s="17" t="s">
        <v>210</v>
      </c>
      <c r="H41" s="17" t="s">
        <v>210</v>
      </c>
      <c r="I41" s="17" t="s">
        <v>210</v>
      </c>
      <c r="J41" s="17" t="s">
        <v>210</v>
      </c>
      <c r="K41" s="17" t="s">
        <v>210</v>
      </c>
      <c r="L41" s="17" t="s">
        <v>210</v>
      </c>
      <c r="M41" s="17" t="s">
        <v>210</v>
      </c>
      <c r="N41" s="17" t="s">
        <v>210</v>
      </c>
      <c r="O41" s="17" t="s">
        <v>210</v>
      </c>
      <c r="P41" s="17" t="s">
        <v>210</v>
      </c>
      <c r="Q41" s="17" t="s">
        <v>210</v>
      </c>
      <c r="R41" s="17" t="s">
        <v>210</v>
      </c>
      <c r="S41" s="17" t="s">
        <v>210</v>
      </c>
      <c r="T41" s="17" t="s">
        <v>210</v>
      </c>
      <c r="U41" s="17" t="s">
        <v>210</v>
      </c>
      <c r="V41" s="17" t="s">
        <v>210</v>
      </c>
      <c r="W41" s="17" t="s">
        <v>210</v>
      </c>
    </row>
    <row r="42" spans="1:23" x14ac:dyDescent="0.2">
      <c r="B42" s="17" t="s">
        <v>211</v>
      </c>
      <c r="C42" s="17" t="s">
        <v>211</v>
      </c>
      <c r="D42" s="17" t="s">
        <v>211</v>
      </c>
      <c r="E42" s="17" t="s">
        <v>211</v>
      </c>
      <c r="F42" s="17" t="s">
        <v>211</v>
      </c>
      <c r="G42" s="17" t="s">
        <v>211</v>
      </c>
      <c r="H42" s="17" t="s">
        <v>211</v>
      </c>
      <c r="I42" s="17" t="s">
        <v>211</v>
      </c>
      <c r="J42" s="17" t="s">
        <v>211</v>
      </c>
      <c r="K42" s="17" t="s">
        <v>211</v>
      </c>
      <c r="L42" s="17" t="s">
        <v>211</v>
      </c>
      <c r="M42" s="17" t="s">
        <v>211</v>
      </c>
      <c r="N42" s="17" t="s">
        <v>211</v>
      </c>
      <c r="O42" s="17" t="s">
        <v>211</v>
      </c>
      <c r="P42" s="17" t="s">
        <v>211</v>
      </c>
      <c r="Q42" s="17" t="s">
        <v>211</v>
      </c>
      <c r="R42" s="17" t="s">
        <v>211</v>
      </c>
      <c r="S42" s="17" t="s">
        <v>211</v>
      </c>
      <c r="T42" s="17" t="s">
        <v>211</v>
      </c>
      <c r="U42" s="17" t="s">
        <v>211</v>
      </c>
      <c r="V42" s="17" t="s">
        <v>211</v>
      </c>
      <c r="W42" s="17" t="s">
        <v>211</v>
      </c>
    </row>
    <row r="43" spans="1:23" x14ac:dyDescent="0.2">
      <c r="B43" s="17" t="s">
        <v>212</v>
      </c>
      <c r="C43" s="17" t="s">
        <v>212</v>
      </c>
      <c r="D43" s="17" t="s">
        <v>212</v>
      </c>
      <c r="E43" s="17" t="s">
        <v>212</v>
      </c>
      <c r="F43" s="17" t="s">
        <v>212</v>
      </c>
      <c r="G43" s="17" t="s">
        <v>212</v>
      </c>
      <c r="H43" s="17" t="s">
        <v>212</v>
      </c>
      <c r="I43" s="17" t="s">
        <v>212</v>
      </c>
      <c r="J43" s="17" t="s">
        <v>212</v>
      </c>
      <c r="K43" s="17" t="s">
        <v>212</v>
      </c>
      <c r="L43" s="17" t="s">
        <v>212</v>
      </c>
      <c r="M43" s="17" t="s">
        <v>212</v>
      </c>
      <c r="N43" s="17" t="s">
        <v>212</v>
      </c>
      <c r="O43" s="17" t="s">
        <v>212</v>
      </c>
      <c r="P43" s="17" t="s">
        <v>212</v>
      </c>
      <c r="Q43" s="17" t="s">
        <v>212</v>
      </c>
      <c r="R43" s="17" t="s">
        <v>212</v>
      </c>
      <c r="S43" s="17" t="s">
        <v>212</v>
      </c>
      <c r="T43" s="17" t="s">
        <v>212</v>
      </c>
      <c r="U43" s="17" t="s">
        <v>212</v>
      </c>
      <c r="V43" s="17" t="s">
        <v>212</v>
      </c>
      <c r="W43" s="17" t="s">
        <v>212</v>
      </c>
    </row>
    <row r="44" spans="1:23" x14ac:dyDescent="0.2">
      <c r="B44" s="17" t="s">
        <v>213</v>
      </c>
      <c r="C44" s="17" t="s">
        <v>213</v>
      </c>
      <c r="D44" s="17" t="s">
        <v>213</v>
      </c>
      <c r="E44" s="17" t="s">
        <v>213</v>
      </c>
      <c r="F44" s="17" t="s">
        <v>213</v>
      </c>
      <c r="G44" s="17" t="s">
        <v>213</v>
      </c>
      <c r="H44" s="17" t="s">
        <v>213</v>
      </c>
      <c r="I44" s="17" t="s">
        <v>213</v>
      </c>
      <c r="J44" s="17" t="s">
        <v>213</v>
      </c>
      <c r="K44" s="17" t="s">
        <v>213</v>
      </c>
      <c r="L44" s="17" t="s">
        <v>213</v>
      </c>
      <c r="M44" s="17" t="s">
        <v>213</v>
      </c>
      <c r="N44" s="17" t="s">
        <v>213</v>
      </c>
      <c r="O44" s="17" t="s">
        <v>213</v>
      </c>
      <c r="P44" s="17" t="s">
        <v>213</v>
      </c>
      <c r="Q44" s="17" t="s">
        <v>213</v>
      </c>
      <c r="R44" s="17" t="s">
        <v>213</v>
      </c>
      <c r="S44" s="17" t="s">
        <v>213</v>
      </c>
      <c r="T44" s="17" t="s">
        <v>213</v>
      </c>
      <c r="U44" s="17" t="s">
        <v>213</v>
      </c>
      <c r="V44" s="17" t="s">
        <v>213</v>
      </c>
      <c r="W44" s="17" t="s">
        <v>213</v>
      </c>
    </row>
    <row r="45" spans="1:23" x14ac:dyDescent="0.2">
      <c r="B45" s="17" t="s">
        <v>214</v>
      </c>
      <c r="C45" s="17" t="s">
        <v>214</v>
      </c>
      <c r="D45" s="17" t="s">
        <v>214</v>
      </c>
      <c r="E45" s="17" t="s">
        <v>214</v>
      </c>
      <c r="F45" s="17" t="s">
        <v>214</v>
      </c>
      <c r="G45" s="17" t="s">
        <v>214</v>
      </c>
      <c r="H45" s="17" t="s">
        <v>214</v>
      </c>
      <c r="I45" s="17" t="s">
        <v>214</v>
      </c>
      <c r="J45" s="17" t="s">
        <v>214</v>
      </c>
      <c r="K45" s="17" t="s">
        <v>214</v>
      </c>
      <c r="L45" s="17" t="s">
        <v>214</v>
      </c>
      <c r="M45" s="17" t="s">
        <v>214</v>
      </c>
      <c r="N45" s="17" t="s">
        <v>214</v>
      </c>
      <c r="O45" s="17" t="s">
        <v>214</v>
      </c>
      <c r="P45" s="17" t="s">
        <v>214</v>
      </c>
      <c r="Q45" s="17" t="s">
        <v>214</v>
      </c>
      <c r="R45" s="17" t="s">
        <v>214</v>
      </c>
      <c r="S45" s="17" t="s">
        <v>214</v>
      </c>
      <c r="T45" s="17" t="s">
        <v>214</v>
      </c>
      <c r="U45" s="17" t="s">
        <v>214</v>
      </c>
      <c r="V45" s="17" t="s">
        <v>214</v>
      </c>
      <c r="W45" s="17" t="s">
        <v>214</v>
      </c>
    </row>
    <row r="46" spans="1:23" x14ac:dyDescent="0.2">
      <c r="B46" s="17" t="s">
        <v>215</v>
      </c>
      <c r="C46" s="17" t="s">
        <v>215</v>
      </c>
      <c r="D46" s="17" t="s">
        <v>215</v>
      </c>
      <c r="E46" s="17" t="s">
        <v>215</v>
      </c>
      <c r="F46" s="17" t="s">
        <v>215</v>
      </c>
      <c r="G46" s="17" t="s">
        <v>215</v>
      </c>
      <c r="H46" s="17" t="s">
        <v>215</v>
      </c>
      <c r="I46" s="17" t="s">
        <v>215</v>
      </c>
      <c r="J46" s="17" t="s">
        <v>215</v>
      </c>
      <c r="K46" s="17" t="s">
        <v>215</v>
      </c>
      <c r="L46" s="17" t="s">
        <v>215</v>
      </c>
      <c r="M46" s="17" t="s">
        <v>215</v>
      </c>
      <c r="N46" s="17" t="s">
        <v>215</v>
      </c>
      <c r="O46" s="17" t="s">
        <v>215</v>
      </c>
      <c r="P46" s="17" t="s">
        <v>215</v>
      </c>
      <c r="Q46" s="17" t="s">
        <v>215</v>
      </c>
      <c r="R46" s="17" t="s">
        <v>215</v>
      </c>
      <c r="S46" s="17" t="s">
        <v>215</v>
      </c>
      <c r="T46" s="17" t="s">
        <v>215</v>
      </c>
      <c r="U46" s="17" t="s">
        <v>215</v>
      </c>
      <c r="V46" s="17" t="s">
        <v>215</v>
      </c>
      <c r="W46" s="17" t="s">
        <v>215</v>
      </c>
    </row>
    <row r="47" spans="1:23" x14ac:dyDescent="0.2">
      <c r="B47" s="17" t="s">
        <v>216</v>
      </c>
      <c r="C47" s="17" t="s">
        <v>216</v>
      </c>
      <c r="D47" s="17" t="s">
        <v>216</v>
      </c>
      <c r="E47" s="17" t="s">
        <v>216</v>
      </c>
      <c r="F47" s="17" t="s">
        <v>216</v>
      </c>
      <c r="G47" s="17" t="s">
        <v>216</v>
      </c>
      <c r="H47" s="17" t="s">
        <v>216</v>
      </c>
      <c r="I47" s="17" t="s">
        <v>216</v>
      </c>
      <c r="J47" s="17" t="s">
        <v>216</v>
      </c>
      <c r="K47" s="17" t="s">
        <v>216</v>
      </c>
      <c r="L47" s="17" t="s">
        <v>216</v>
      </c>
      <c r="M47" s="17" t="s">
        <v>216</v>
      </c>
      <c r="N47" s="17" t="s">
        <v>216</v>
      </c>
      <c r="O47" s="17" t="s">
        <v>216</v>
      </c>
      <c r="P47" s="17" t="s">
        <v>216</v>
      </c>
      <c r="Q47" s="17" t="s">
        <v>216</v>
      </c>
      <c r="R47" s="17" t="s">
        <v>216</v>
      </c>
      <c r="S47" s="17" t="s">
        <v>216</v>
      </c>
      <c r="T47" s="17" t="s">
        <v>216</v>
      </c>
      <c r="U47" s="17" t="s">
        <v>216</v>
      </c>
      <c r="V47" s="17" t="s">
        <v>216</v>
      </c>
      <c r="W47" s="17" t="s">
        <v>216</v>
      </c>
    </row>
    <row r="48" spans="1:23" x14ac:dyDescent="0.2">
      <c r="B48" s="17" t="s">
        <v>217</v>
      </c>
      <c r="C48" s="17" t="s">
        <v>217</v>
      </c>
      <c r="D48" s="17" t="s">
        <v>217</v>
      </c>
      <c r="E48" s="17" t="s">
        <v>217</v>
      </c>
      <c r="F48" s="17" t="s">
        <v>217</v>
      </c>
      <c r="G48" s="17" t="s">
        <v>217</v>
      </c>
      <c r="H48" s="17" t="s">
        <v>217</v>
      </c>
      <c r="I48" s="17" t="s">
        <v>217</v>
      </c>
      <c r="J48" s="17" t="s">
        <v>217</v>
      </c>
      <c r="K48" s="17" t="s">
        <v>217</v>
      </c>
      <c r="L48" s="17" t="s">
        <v>217</v>
      </c>
      <c r="M48" s="17" t="s">
        <v>217</v>
      </c>
      <c r="N48" s="17" t="s">
        <v>217</v>
      </c>
      <c r="O48" s="17" t="s">
        <v>217</v>
      </c>
      <c r="P48" s="17" t="s">
        <v>217</v>
      </c>
      <c r="Q48" s="17" t="s">
        <v>217</v>
      </c>
      <c r="R48" s="17" t="s">
        <v>217</v>
      </c>
      <c r="S48" s="17" t="s">
        <v>217</v>
      </c>
      <c r="T48" s="17" t="s">
        <v>217</v>
      </c>
      <c r="U48" s="17" t="s">
        <v>217</v>
      </c>
      <c r="V48" s="17" t="s">
        <v>217</v>
      </c>
      <c r="W48" s="17" t="s">
        <v>217</v>
      </c>
    </row>
    <row r="49" spans="2:23" x14ac:dyDescent="0.2">
      <c r="B49" s="17" t="s">
        <v>218</v>
      </c>
      <c r="C49" s="17" t="s">
        <v>218</v>
      </c>
      <c r="D49" s="17" t="s">
        <v>218</v>
      </c>
      <c r="E49" s="17" t="s">
        <v>218</v>
      </c>
      <c r="F49" s="17" t="s">
        <v>218</v>
      </c>
      <c r="G49" s="17" t="s">
        <v>218</v>
      </c>
      <c r="H49" s="17" t="s">
        <v>218</v>
      </c>
      <c r="I49" s="17" t="s">
        <v>218</v>
      </c>
      <c r="J49" s="17" t="s">
        <v>218</v>
      </c>
      <c r="K49" s="17" t="s">
        <v>218</v>
      </c>
      <c r="L49" s="17" t="s">
        <v>218</v>
      </c>
      <c r="M49" s="17" t="s">
        <v>218</v>
      </c>
      <c r="N49" s="17" t="s">
        <v>218</v>
      </c>
      <c r="O49" s="17" t="s">
        <v>218</v>
      </c>
      <c r="P49" s="17" t="s">
        <v>218</v>
      </c>
      <c r="Q49" s="17" t="s">
        <v>218</v>
      </c>
      <c r="R49" s="17" t="s">
        <v>218</v>
      </c>
      <c r="S49" s="17" t="s">
        <v>218</v>
      </c>
      <c r="T49" s="17" t="s">
        <v>218</v>
      </c>
      <c r="U49" s="17" t="s">
        <v>218</v>
      </c>
      <c r="V49" s="17" t="s">
        <v>218</v>
      </c>
      <c r="W49" s="17" t="s">
        <v>218</v>
      </c>
    </row>
    <row r="50" spans="2:23" x14ac:dyDescent="0.2">
      <c r="B50" s="17" t="s">
        <v>219</v>
      </c>
      <c r="C50" s="17" t="s">
        <v>219</v>
      </c>
      <c r="D50" s="17" t="s">
        <v>219</v>
      </c>
      <c r="E50" s="17" t="s">
        <v>219</v>
      </c>
      <c r="F50" s="17" t="s">
        <v>219</v>
      </c>
      <c r="G50" s="17" t="s">
        <v>219</v>
      </c>
      <c r="H50" s="17" t="s">
        <v>219</v>
      </c>
      <c r="I50" s="17" t="s">
        <v>219</v>
      </c>
      <c r="J50" s="17" t="s">
        <v>219</v>
      </c>
      <c r="K50" s="17" t="s">
        <v>219</v>
      </c>
      <c r="L50" s="17" t="s">
        <v>219</v>
      </c>
      <c r="M50" s="17" t="s">
        <v>219</v>
      </c>
      <c r="N50" s="17" t="s">
        <v>219</v>
      </c>
      <c r="O50" s="17" t="s">
        <v>219</v>
      </c>
      <c r="P50" s="17" t="s">
        <v>219</v>
      </c>
      <c r="Q50" s="17" t="s">
        <v>219</v>
      </c>
      <c r="R50" s="17" t="s">
        <v>219</v>
      </c>
      <c r="S50" s="17" t="s">
        <v>219</v>
      </c>
      <c r="T50" s="17" t="s">
        <v>219</v>
      </c>
      <c r="U50" s="17" t="s">
        <v>219</v>
      </c>
      <c r="V50" s="17" t="s">
        <v>219</v>
      </c>
      <c r="W50" s="17" t="s">
        <v>219</v>
      </c>
    </row>
    <row r="51" spans="2:23" x14ac:dyDescent="0.2">
      <c r="B51" s="17" t="s">
        <v>220</v>
      </c>
      <c r="C51" s="17" t="s">
        <v>220</v>
      </c>
      <c r="D51" s="17" t="s">
        <v>220</v>
      </c>
      <c r="E51" s="17" t="s">
        <v>220</v>
      </c>
      <c r="F51" s="17" t="s">
        <v>220</v>
      </c>
      <c r="G51" s="17" t="s">
        <v>220</v>
      </c>
      <c r="H51" s="17" t="s">
        <v>220</v>
      </c>
      <c r="I51" s="17" t="s">
        <v>220</v>
      </c>
      <c r="J51" s="17" t="s">
        <v>220</v>
      </c>
      <c r="K51" s="17" t="s">
        <v>220</v>
      </c>
      <c r="L51" s="17" t="s">
        <v>220</v>
      </c>
      <c r="M51" s="17" t="s">
        <v>220</v>
      </c>
      <c r="N51" s="17" t="s">
        <v>220</v>
      </c>
      <c r="O51" s="17" t="s">
        <v>220</v>
      </c>
      <c r="P51" s="17" t="s">
        <v>220</v>
      </c>
      <c r="Q51" s="17" t="s">
        <v>220</v>
      </c>
      <c r="R51" s="17" t="s">
        <v>220</v>
      </c>
      <c r="S51" s="17" t="s">
        <v>220</v>
      </c>
      <c r="T51" s="17" t="s">
        <v>220</v>
      </c>
      <c r="U51" s="17" t="s">
        <v>220</v>
      </c>
      <c r="V51" s="17" t="s">
        <v>220</v>
      </c>
      <c r="W51" s="17" t="s">
        <v>220</v>
      </c>
    </row>
    <row r="52" spans="2:23" x14ac:dyDescent="0.2">
      <c r="B52" s="17" t="s">
        <v>221</v>
      </c>
      <c r="C52" s="17" t="s">
        <v>221</v>
      </c>
      <c r="D52" s="17" t="s">
        <v>221</v>
      </c>
      <c r="E52" s="17" t="s">
        <v>221</v>
      </c>
      <c r="F52" s="17" t="s">
        <v>221</v>
      </c>
      <c r="G52" s="17" t="s">
        <v>221</v>
      </c>
      <c r="H52" s="17" t="s">
        <v>221</v>
      </c>
      <c r="I52" s="17" t="s">
        <v>221</v>
      </c>
      <c r="J52" s="17" t="s">
        <v>221</v>
      </c>
      <c r="K52" s="17" t="s">
        <v>221</v>
      </c>
      <c r="L52" s="17" t="s">
        <v>221</v>
      </c>
      <c r="M52" s="17" t="s">
        <v>221</v>
      </c>
      <c r="N52" s="17" t="s">
        <v>221</v>
      </c>
      <c r="O52" s="17" t="s">
        <v>221</v>
      </c>
      <c r="P52" s="17" t="s">
        <v>221</v>
      </c>
      <c r="Q52" s="17" t="s">
        <v>221</v>
      </c>
      <c r="R52" s="17" t="s">
        <v>221</v>
      </c>
      <c r="S52" s="17" t="s">
        <v>221</v>
      </c>
      <c r="T52" s="17" t="s">
        <v>221</v>
      </c>
      <c r="U52" s="17" t="s">
        <v>221</v>
      </c>
      <c r="V52" s="17" t="s">
        <v>221</v>
      </c>
      <c r="W52" s="17" t="s">
        <v>221</v>
      </c>
    </row>
    <row r="53" spans="2:23" x14ac:dyDescent="0.2">
      <c r="B53" s="17" t="s">
        <v>222</v>
      </c>
      <c r="C53" s="17" t="s">
        <v>222</v>
      </c>
      <c r="D53" s="17" t="s">
        <v>222</v>
      </c>
      <c r="E53" s="17" t="s">
        <v>222</v>
      </c>
      <c r="F53" s="17" t="s">
        <v>222</v>
      </c>
      <c r="G53" s="17" t="s">
        <v>222</v>
      </c>
      <c r="H53" s="17" t="s">
        <v>222</v>
      </c>
      <c r="I53" s="17" t="s">
        <v>222</v>
      </c>
      <c r="J53" s="17" t="s">
        <v>222</v>
      </c>
      <c r="K53" s="17" t="s">
        <v>222</v>
      </c>
      <c r="L53" s="17" t="s">
        <v>222</v>
      </c>
      <c r="M53" s="17" t="s">
        <v>222</v>
      </c>
      <c r="N53" s="17" t="s">
        <v>222</v>
      </c>
      <c r="O53" s="17" t="s">
        <v>222</v>
      </c>
      <c r="P53" s="17" t="s">
        <v>222</v>
      </c>
      <c r="Q53" s="17" t="s">
        <v>222</v>
      </c>
      <c r="R53" s="17" t="s">
        <v>222</v>
      </c>
      <c r="S53" s="17" t="s">
        <v>222</v>
      </c>
      <c r="T53" s="17" t="s">
        <v>222</v>
      </c>
      <c r="U53" s="17" t="s">
        <v>222</v>
      </c>
      <c r="V53" s="17" t="s">
        <v>222</v>
      </c>
      <c r="W53" s="17" t="s">
        <v>222</v>
      </c>
    </row>
    <row r="54" spans="2:23" x14ac:dyDescent="0.2">
      <c r="B54" s="17" t="s">
        <v>223</v>
      </c>
      <c r="C54" s="17" t="s">
        <v>223</v>
      </c>
      <c r="D54" s="17" t="s">
        <v>223</v>
      </c>
      <c r="E54" s="17" t="s">
        <v>223</v>
      </c>
      <c r="F54" s="17" t="s">
        <v>223</v>
      </c>
      <c r="G54" s="17" t="s">
        <v>223</v>
      </c>
      <c r="H54" s="17" t="s">
        <v>223</v>
      </c>
      <c r="I54" s="17" t="s">
        <v>223</v>
      </c>
      <c r="J54" s="17" t="s">
        <v>223</v>
      </c>
      <c r="K54" s="17" t="s">
        <v>223</v>
      </c>
      <c r="L54" s="17" t="s">
        <v>223</v>
      </c>
      <c r="M54" s="17" t="s">
        <v>223</v>
      </c>
      <c r="N54" s="17" t="s">
        <v>223</v>
      </c>
      <c r="O54" s="17" t="s">
        <v>223</v>
      </c>
      <c r="P54" s="17" t="s">
        <v>223</v>
      </c>
      <c r="Q54" s="17" t="s">
        <v>223</v>
      </c>
      <c r="R54" s="17" t="s">
        <v>223</v>
      </c>
      <c r="S54" s="17" t="s">
        <v>223</v>
      </c>
      <c r="T54" s="17" t="s">
        <v>223</v>
      </c>
      <c r="U54" s="17" t="s">
        <v>223</v>
      </c>
      <c r="V54" s="17" t="s">
        <v>223</v>
      </c>
      <c r="W54" s="17" t="s">
        <v>223</v>
      </c>
    </row>
    <row r="55" spans="2:23" x14ac:dyDescent="0.2">
      <c r="B55" s="17" t="s">
        <v>224</v>
      </c>
      <c r="C55" s="17" t="s">
        <v>224</v>
      </c>
      <c r="D55" s="17" t="s">
        <v>224</v>
      </c>
      <c r="E55" s="17" t="s">
        <v>224</v>
      </c>
      <c r="F55" s="17" t="s">
        <v>224</v>
      </c>
      <c r="G55" s="17" t="s">
        <v>224</v>
      </c>
      <c r="H55" s="17" t="s">
        <v>224</v>
      </c>
      <c r="I55" s="17" t="s">
        <v>224</v>
      </c>
      <c r="J55" s="17" t="s">
        <v>224</v>
      </c>
      <c r="K55" s="17" t="s">
        <v>224</v>
      </c>
      <c r="L55" s="17" t="s">
        <v>224</v>
      </c>
      <c r="M55" s="17" t="s">
        <v>224</v>
      </c>
      <c r="N55" s="17" t="s">
        <v>224</v>
      </c>
      <c r="O55" s="17" t="s">
        <v>224</v>
      </c>
      <c r="P55" s="17" t="s">
        <v>224</v>
      </c>
      <c r="Q55" s="17" t="s">
        <v>224</v>
      </c>
      <c r="R55" s="17" t="s">
        <v>224</v>
      </c>
      <c r="S55" s="17" t="s">
        <v>224</v>
      </c>
      <c r="T55" s="17" t="s">
        <v>224</v>
      </c>
      <c r="U55" s="17" t="s">
        <v>224</v>
      </c>
      <c r="V55" s="17" t="s">
        <v>224</v>
      </c>
      <c r="W55" s="17" t="s">
        <v>224</v>
      </c>
    </row>
    <row r="56" spans="2:23" x14ac:dyDescent="0.2">
      <c r="B56" s="17" t="s">
        <v>225</v>
      </c>
      <c r="C56" s="17" t="s">
        <v>225</v>
      </c>
      <c r="D56" s="17" t="s">
        <v>225</v>
      </c>
      <c r="E56" s="17" t="s">
        <v>225</v>
      </c>
      <c r="F56" s="17" t="s">
        <v>225</v>
      </c>
      <c r="G56" s="17" t="s">
        <v>225</v>
      </c>
      <c r="H56" s="17" t="s">
        <v>225</v>
      </c>
      <c r="I56" s="17" t="s">
        <v>225</v>
      </c>
      <c r="J56" s="17" t="s">
        <v>225</v>
      </c>
      <c r="K56" s="17" t="s">
        <v>225</v>
      </c>
      <c r="L56" s="17" t="s">
        <v>225</v>
      </c>
      <c r="M56" s="17" t="s">
        <v>225</v>
      </c>
      <c r="N56" s="17" t="s">
        <v>225</v>
      </c>
      <c r="O56" s="17" t="s">
        <v>225</v>
      </c>
      <c r="P56" s="17" t="s">
        <v>225</v>
      </c>
      <c r="Q56" s="17" t="s">
        <v>225</v>
      </c>
      <c r="R56" s="17" t="s">
        <v>225</v>
      </c>
      <c r="S56" s="17" t="s">
        <v>225</v>
      </c>
      <c r="T56" s="17" t="s">
        <v>225</v>
      </c>
      <c r="U56" s="17" t="s">
        <v>225</v>
      </c>
      <c r="V56" s="17" t="s">
        <v>225</v>
      </c>
      <c r="W56" s="17" t="s">
        <v>225</v>
      </c>
    </row>
    <row r="57" spans="2:23" x14ac:dyDescent="0.2">
      <c r="B57" s="17" t="s">
        <v>226</v>
      </c>
      <c r="C57" s="17" t="s">
        <v>226</v>
      </c>
      <c r="D57" s="17" t="s">
        <v>226</v>
      </c>
      <c r="E57" s="17" t="s">
        <v>226</v>
      </c>
      <c r="F57" s="17" t="s">
        <v>226</v>
      </c>
      <c r="G57" s="17" t="s">
        <v>226</v>
      </c>
      <c r="H57" s="17" t="s">
        <v>226</v>
      </c>
      <c r="I57" s="17" t="s">
        <v>226</v>
      </c>
      <c r="J57" s="17" t="s">
        <v>226</v>
      </c>
      <c r="K57" s="17" t="s">
        <v>226</v>
      </c>
      <c r="L57" s="17" t="s">
        <v>226</v>
      </c>
      <c r="M57" s="17" t="s">
        <v>226</v>
      </c>
      <c r="N57" s="17" t="s">
        <v>226</v>
      </c>
      <c r="O57" s="17" t="s">
        <v>226</v>
      </c>
      <c r="P57" s="17" t="s">
        <v>226</v>
      </c>
      <c r="Q57" s="17" t="s">
        <v>226</v>
      </c>
      <c r="R57" s="17" t="s">
        <v>226</v>
      </c>
      <c r="S57" s="17" t="s">
        <v>226</v>
      </c>
      <c r="T57" s="17" t="s">
        <v>226</v>
      </c>
      <c r="U57" s="17" t="s">
        <v>226</v>
      </c>
      <c r="V57" s="17" t="s">
        <v>226</v>
      </c>
      <c r="W57" s="17" t="s">
        <v>226</v>
      </c>
    </row>
    <row r="58" spans="2:23" x14ac:dyDescent="0.2">
      <c r="B58" s="17" t="s">
        <v>227</v>
      </c>
      <c r="C58" s="17" t="s">
        <v>227</v>
      </c>
      <c r="D58" s="17" t="s">
        <v>227</v>
      </c>
      <c r="E58" s="17" t="s">
        <v>227</v>
      </c>
      <c r="F58" s="17" t="s">
        <v>227</v>
      </c>
      <c r="G58" s="17" t="s">
        <v>227</v>
      </c>
      <c r="H58" s="17" t="s">
        <v>227</v>
      </c>
      <c r="I58" s="17" t="s">
        <v>227</v>
      </c>
      <c r="J58" s="17" t="s">
        <v>227</v>
      </c>
      <c r="K58" s="17" t="s">
        <v>227</v>
      </c>
      <c r="L58" s="17" t="s">
        <v>227</v>
      </c>
      <c r="M58" s="17" t="s">
        <v>227</v>
      </c>
      <c r="N58" s="17" t="s">
        <v>227</v>
      </c>
      <c r="O58" s="17" t="s">
        <v>227</v>
      </c>
      <c r="P58" s="17" t="s">
        <v>227</v>
      </c>
      <c r="Q58" s="17" t="s">
        <v>227</v>
      </c>
      <c r="R58" s="17" t="s">
        <v>227</v>
      </c>
      <c r="S58" s="17" t="s">
        <v>227</v>
      </c>
      <c r="T58" s="17" t="s">
        <v>227</v>
      </c>
      <c r="U58" s="17" t="s">
        <v>227</v>
      </c>
      <c r="V58" s="17" t="s">
        <v>227</v>
      </c>
      <c r="W58" s="17" t="s">
        <v>227</v>
      </c>
    </row>
    <row r="59" spans="2:23" x14ac:dyDescent="0.2">
      <c r="B59" s="17" t="s">
        <v>228</v>
      </c>
      <c r="C59" s="17" t="s">
        <v>228</v>
      </c>
      <c r="D59" s="17" t="s">
        <v>228</v>
      </c>
      <c r="E59" s="17" t="s">
        <v>228</v>
      </c>
      <c r="F59" s="17" t="s">
        <v>228</v>
      </c>
      <c r="G59" s="17" t="s">
        <v>228</v>
      </c>
      <c r="H59" s="17" t="s">
        <v>228</v>
      </c>
      <c r="I59" s="17" t="s">
        <v>228</v>
      </c>
      <c r="J59" s="17" t="s">
        <v>228</v>
      </c>
      <c r="K59" s="17" t="s">
        <v>228</v>
      </c>
      <c r="L59" s="17" t="s">
        <v>228</v>
      </c>
      <c r="M59" s="17" t="s">
        <v>228</v>
      </c>
      <c r="N59" s="17" t="s">
        <v>228</v>
      </c>
      <c r="O59" s="17" t="s">
        <v>228</v>
      </c>
      <c r="P59" s="17" t="s">
        <v>228</v>
      </c>
      <c r="Q59" s="17" t="s">
        <v>228</v>
      </c>
      <c r="R59" s="17" t="s">
        <v>228</v>
      </c>
      <c r="S59" s="17" t="s">
        <v>228</v>
      </c>
      <c r="T59" s="17" t="s">
        <v>228</v>
      </c>
      <c r="U59" s="17" t="s">
        <v>228</v>
      </c>
      <c r="V59" s="17" t="s">
        <v>228</v>
      </c>
      <c r="W59" s="17" t="s">
        <v>228</v>
      </c>
    </row>
    <row r="60" spans="2:23" x14ac:dyDescent="0.2">
      <c r="B60" s="17" t="s">
        <v>229</v>
      </c>
      <c r="C60" s="17" t="s">
        <v>229</v>
      </c>
      <c r="D60" s="17" t="s">
        <v>229</v>
      </c>
      <c r="E60" s="17" t="s">
        <v>229</v>
      </c>
      <c r="F60" s="17" t="s">
        <v>229</v>
      </c>
      <c r="G60" s="17" t="s">
        <v>229</v>
      </c>
      <c r="H60" s="17" t="s">
        <v>229</v>
      </c>
      <c r="I60" s="17" t="s">
        <v>229</v>
      </c>
      <c r="J60" s="17" t="s">
        <v>229</v>
      </c>
      <c r="K60" s="17" t="s">
        <v>229</v>
      </c>
      <c r="L60" s="17" t="s">
        <v>229</v>
      </c>
      <c r="M60" s="17" t="s">
        <v>229</v>
      </c>
      <c r="N60" s="17" t="s">
        <v>229</v>
      </c>
      <c r="O60" s="17" t="s">
        <v>229</v>
      </c>
      <c r="P60" s="17" t="s">
        <v>229</v>
      </c>
      <c r="Q60" s="17" t="s">
        <v>229</v>
      </c>
      <c r="R60" s="17" t="s">
        <v>229</v>
      </c>
      <c r="S60" s="17" t="s">
        <v>229</v>
      </c>
      <c r="T60" s="17" t="s">
        <v>229</v>
      </c>
      <c r="U60" s="17" t="s">
        <v>229</v>
      </c>
      <c r="V60" s="17" t="s">
        <v>229</v>
      </c>
      <c r="W60" s="17" t="s">
        <v>229</v>
      </c>
    </row>
    <row r="61" spans="2:23" x14ac:dyDescent="0.2"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 t="s">
        <v>230</v>
      </c>
      <c r="I61" s="17" t="s">
        <v>230</v>
      </c>
      <c r="J61" s="17" t="s">
        <v>230</v>
      </c>
      <c r="K61" s="17" t="s">
        <v>230</v>
      </c>
      <c r="L61" s="17" t="s">
        <v>230</v>
      </c>
      <c r="M61" s="17" t="s">
        <v>230</v>
      </c>
      <c r="N61" s="17" t="s">
        <v>230</v>
      </c>
      <c r="O61" s="17" t="s">
        <v>230</v>
      </c>
      <c r="P61" s="17" t="s">
        <v>230</v>
      </c>
      <c r="Q61" s="17" t="s">
        <v>230</v>
      </c>
      <c r="R61" s="17" t="s">
        <v>230</v>
      </c>
      <c r="S61" s="17" t="s">
        <v>230</v>
      </c>
      <c r="T61" s="17" t="s">
        <v>230</v>
      </c>
      <c r="U61" s="17" t="s">
        <v>230</v>
      </c>
      <c r="V61" s="17" t="s">
        <v>230</v>
      </c>
      <c r="W61" s="17" t="s">
        <v>230</v>
      </c>
    </row>
    <row r="62" spans="2:23" x14ac:dyDescent="0.2">
      <c r="B62" s="17" t="s">
        <v>231</v>
      </c>
      <c r="C62" s="17" t="s">
        <v>231</v>
      </c>
      <c r="D62" s="17" t="s">
        <v>231</v>
      </c>
      <c r="E62" s="17" t="s">
        <v>231</v>
      </c>
      <c r="F62" s="17" t="s">
        <v>231</v>
      </c>
      <c r="G62" s="17" t="s">
        <v>231</v>
      </c>
      <c r="H62" s="17" t="s">
        <v>231</v>
      </c>
      <c r="I62" s="17" t="s">
        <v>231</v>
      </c>
      <c r="J62" s="17" t="s">
        <v>231</v>
      </c>
      <c r="K62" s="17" t="s">
        <v>231</v>
      </c>
      <c r="L62" s="17" t="s">
        <v>231</v>
      </c>
      <c r="M62" s="17" t="s">
        <v>231</v>
      </c>
      <c r="N62" s="17" t="s">
        <v>231</v>
      </c>
      <c r="O62" s="17" t="s">
        <v>231</v>
      </c>
      <c r="P62" s="17" t="s">
        <v>231</v>
      </c>
      <c r="Q62" s="17" t="s">
        <v>231</v>
      </c>
      <c r="R62" s="17" t="s">
        <v>231</v>
      </c>
      <c r="S62" s="17" t="s">
        <v>231</v>
      </c>
      <c r="T62" s="17" t="s">
        <v>231</v>
      </c>
      <c r="U62" s="17" t="s">
        <v>231</v>
      </c>
      <c r="V62" s="17" t="s">
        <v>231</v>
      </c>
      <c r="W62" s="17" t="s">
        <v>231</v>
      </c>
    </row>
    <row r="63" spans="2:23" x14ac:dyDescent="0.2">
      <c r="B63" s="17" t="s">
        <v>232</v>
      </c>
      <c r="C63" s="17" t="s">
        <v>232</v>
      </c>
      <c r="D63" s="17" t="s">
        <v>232</v>
      </c>
      <c r="E63" s="17" t="s">
        <v>232</v>
      </c>
      <c r="F63" s="17" t="s">
        <v>232</v>
      </c>
      <c r="G63" s="17" t="s">
        <v>232</v>
      </c>
      <c r="H63" s="17" t="s">
        <v>232</v>
      </c>
      <c r="I63" s="17" t="s">
        <v>232</v>
      </c>
      <c r="J63" s="17" t="s">
        <v>232</v>
      </c>
      <c r="K63" s="17" t="s">
        <v>232</v>
      </c>
      <c r="L63" s="17" t="s">
        <v>232</v>
      </c>
      <c r="M63" s="17" t="s">
        <v>232</v>
      </c>
      <c r="N63" s="17" t="s">
        <v>232</v>
      </c>
      <c r="O63" s="17" t="s">
        <v>232</v>
      </c>
      <c r="P63" s="17" t="s">
        <v>232</v>
      </c>
      <c r="Q63" s="17" t="s">
        <v>232</v>
      </c>
      <c r="R63" s="17" t="s">
        <v>232</v>
      </c>
      <c r="S63" s="17" t="s">
        <v>232</v>
      </c>
      <c r="T63" s="17" t="s">
        <v>232</v>
      </c>
      <c r="U63" s="17" t="s">
        <v>232</v>
      </c>
      <c r="V63" s="17" t="s">
        <v>232</v>
      </c>
      <c r="W63" s="17" t="s">
        <v>232</v>
      </c>
    </row>
    <row r="64" spans="2:23" x14ac:dyDescent="0.2">
      <c r="B64" s="17" t="s">
        <v>233</v>
      </c>
      <c r="C64" s="17" t="s">
        <v>233</v>
      </c>
      <c r="D64" s="17" t="s">
        <v>233</v>
      </c>
      <c r="E64" s="17" t="s">
        <v>233</v>
      </c>
      <c r="F64" s="17" t="s">
        <v>233</v>
      </c>
      <c r="G64" s="17" t="s">
        <v>233</v>
      </c>
      <c r="H64" s="17" t="s">
        <v>233</v>
      </c>
      <c r="I64" s="17" t="s">
        <v>233</v>
      </c>
      <c r="J64" s="17" t="s">
        <v>233</v>
      </c>
      <c r="K64" s="17" t="s">
        <v>233</v>
      </c>
      <c r="L64" s="17" t="s">
        <v>233</v>
      </c>
      <c r="M64" s="17" t="s">
        <v>233</v>
      </c>
      <c r="N64" s="17" t="s">
        <v>233</v>
      </c>
      <c r="O64" s="17" t="s">
        <v>233</v>
      </c>
      <c r="P64" s="17" t="s">
        <v>233</v>
      </c>
      <c r="Q64" s="17" t="s">
        <v>233</v>
      </c>
      <c r="R64" s="17" t="s">
        <v>233</v>
      </c>
      <c r="S64" s="17" t="s">
        <v>233</v>
      </c>
      <c r="T64" s="17" t="s">
        <v>233</v>
      </c>
      <c r="U64" s="17" t="s">
        <v>233</v>
      </c>
      <c r="V64" s="17" t="s">
        <v>233</v>
      </c>
      <c r="W64" s="17" t="s">
        <v>233</v>
      </c>
    </row>
    <row r="65" spans="2:23" x14ac:dyDescent="0.2">
      <c r="B65" s="17" t="s">
        <v>234</v>
      </c>
      <c r="C65" s="17" t="s">
        <v>234</v>
      </c>
      <c r="D65" s="17" t="s">
        <v>234</v>
      </c>
      <c r="E65" s="17" t="s">
        <v>234</v>
      </c>
      <c r="F65" s="17" t="s">
        <v>234</v>
      </c>
      <c r="G65" s="17" t="s">
        <v>234</v>
      </c>
      <c r="H65" s="17" t="s">
        <v>234</v>
      </c>
      <c r="I65" s="17" t="s">
        <v>234</v>
      </c>
      <c r="J65" s="17" t="s">
        <v>234</v>
      </c>
      <c r="K65" s="17" t="s">
        <v>234</v>
      </c>
      <c r="L65" s="17" t="s">
        <v>234</v>
      </c>
      <c r="M65" s="17" t="s">
        <v>234</v>
      </c>
      <c r="N65" s="17" t="s">
        <v>234</v>
      </c>
      <c r="O65" s="17" t="s">
        <v>234</v>
      </c>
      <c r="P65" s="17" t="s">
        <v>234</v>
      </c>
      <c r="Q65" s="17" t="s">
        <v>234</v>
      </c>
      <c r="R65" s="17" t="s">
        <v>234</v>
      </c>
      <c r="S65" s="17" t="s">
        <v>234</v>
      </c>
      <c r="T65" s="17" t="s">
        <v>234</v>
      </c>
      <c r="U65" s="17" t="s">
        <v>234</v>
      </c>
      <c r="V65" s="17" t="s">
        <v>234</v>
      </c>
      <c r="W65" s="17" t="s">
        <v>234</v>
      </c>
    </row>
    <row r="66" spans="2:23" x14ac:dyDescent="0.2">
      <c r="B66" s="17" t="s">
        <v>235</v>
      </c>
      <c r="C66" s="17" t="s">
        <v>235</v>
      </c>
      <c r="D66" s="17" t="s">
        <v>235</v>
      </c>
      <c r="E66" s="17" t="s">
        <v>235</v>
      </c>
      <c r="F66" s="17" t="s">
        <v>235</v>
      </c>
      <c r="G66" s="17" t="s">
        <v>235</v>
      </c>
      <c r="H66" s="17" t="s">
        <v>235</v>
      </c>
      <c r="I66" s="17" t="s">
        <v>235</v>
      </c>
      <c r="J66" s="17" t="s">
        <v>235</v>
      </c>
      <c r="K66" s="17" t="s">
        <v>235</v>
      </c>
      <c r="L66" s="17" t="s">
        <v>235</v>
      </c>
      <c r="M66" s="17" t="s">
        <v>235</v>
      </c>
      <c r="N66" s="17" t="s">
        <v>235</v>
      </c>
      <c r="O66" s="17" t="s">
        <v>235</v>
      </c>
      <c r="P66" s="17" t="s">
        <v>235</v>
      </c>
      <c r="Q66" s="17" t="s">
        <v>235</v>
      </c>
      <c r="R66" s="17" t="s">
        <v>235</v>
      </c>
      <c r="S66" s="17" t="s">
        <v>235</v>
      </c>
      <c r="T66" s="17" t="s">
        <v>235</v>
      </c>
      <c r="U66" s="17" t="s">
        <v>235</v>
      </c>
      <c r="V66" s="17" t="s">
        <v>235</v>
      </c>
      <c r="W66" s="17" t="s">
        <v>235</v>
      </c>
    </row>
    <row r="67" spans="2:23" x14ac:dyDescent="0.2">
      <c r="B67" s="17" t="s">
        <v>236</v>
      </c>
      <c r="C67" s="17" t="s">
        <v>236</v>
      </c>
      <c r="D67" s="17" t="s">
        <v>236</v>
      </c>
      <c r="E67" s="17" t="s">
        <v>236</v>
      </c>
      <c r="F67" s="17" t="s">
        <v>236</v>
      </c>
      <c r="G67" s="17" t="s">
        <v>236</v>
      </c>
      <c r="H67" s="17" t="s">
        <v>236</v>
      </c>
      <c r="I67" s="17" t="s">
        <v>236</v>
      </c>
      <c r="J67" s="17" t="s">
        <v>236</v>
      </c>
      <c r="K67" s="17" t="s">
        <v>236</v>
      </c>
      <c r="L67" s="17" t="s">
        <v>236</v>
      </c>
      <c r="M67" s="17" t="s">
        <v>236</v>
      </c>
      <c r="N67" s="17" t="s">
        <v>236</v>
      </c>
      <c r="O67" s="17" t="s">
        <v>236</v>
      </c>
      <c r="P67" s="17" t="s">
        <v>236</v>
      </c>
      <c r="Q67" s="17" t="s">
        <v>236</v>
      </c>
      <c r="R67" s="17" t="s">
        <v>236</v>
      </c>
      <c r="S67" s="17" t="s">
        <v>236</v>
      </c>
      <c r="T67" s="17" t="s">
        <v>236</v>
      </c>
      <c r="U67" s="17" t="s">
        <v>236</v>
      </c>
      <c r="V67" s="17" t="s">
        <v>236</v>
      </c>
      <c r="W67" s="17" t="s">
        <v>236</v>
      </c>
    </row>
    <row r="68" spans="2:23" x14ac:dyDescent="0.2">
      <c r="B68" s="17" t="s">
        <v>237</v>
      </c>
      <c r="C68" s="17" t="s">
        <v>237</v>
      </c>
      <c r="D68" s="17" t="s">
        <v>237</v>
      </c>
      <c r="E68" s="17" t="s">
        <v>237</v>
      </c>
      <c r="F68" s="17" t="s">
        <v>237</v>
      </c>
      <c r="G68" s="17" t="s">
        <v>237</v>
      </c>
      <c r="H68" s="17" t="s">
        <v>237</v>
      </c>
      <c r="I68" s="17" t="s">
        <v>237</v>
      </c>
      <c r="J68" s="17" t="s">
        <v>237</v>
      </c>
      <c r="K68" s="17" t="s">
        <v>237</v>
      </c>
      <c r="L68" s="17" t="s">
        <v>237</v>
      </c>
      <c r="M68" s="17" t="s">
        <v>237</v>
      </c>
      <c r="N68" s="17" t="s">
        <v>237</v>
      </c>
      <c r="O68" s="17" t="s">
        <v>237</v>
      </c>
      <c r="P68" s="17" t="s">
        <v>237</v>
      </c>
      <c r="Q68" s="17" t="s">
        <v>237</v>
      </c>
      <c r="R68" s="17" t="s">
        <v>237</v>
      </c>
      <c r="S68" s="17" t="s">
        <v>237</v>
      </c>
      <c r="T68" s="17" t="s">
        <v>237</v>
      </c>
      <c r="U68" s="17" t="s">
        <v>237</v>
      </c>
      <c r="V68" s="17" t="s">
        <v>237</v>
      </c>
      <c r="W68" s="17" t="s">
        <v>237</v>
      </c>
    </row>
    <row r="69" spans="2:23" x14ac:dyDescent="0.2">
      <c r="B69" s="17" t="s">
        <v>238</v>
      </c>
      <c r="C69" s="17" t="s">
        <v>238</v>
      </c>
      <c r="D69" s="17" t="s">
        <v>238</v>
      </c>
      <c r="E69" s="17" t="s">
        <v>238</v>
      </c>
      <c r="F69" s="17" t="s">
        <v>238</v>
      </c>
      <c r="G69" s="17" t="s">
        <v>238</v>
      </c>
      <c r="H69" s="17" t="s">
        <v>238</v>
      </c>
      <c r="I69" s="17" t="s">
        <v>238</v>
      </c>
      <c r="J69" s="17" t="s">
        <v>238</v>
      </c>
      <c r="K69" s="17" t="s">
        <v>238</v>
      </c>
      <c r="L69" s="17" t="s">
        <v>238</v>
      </c>
      <c r="M69" s="17" t="s">
        <v>238</v>
      </c>
      <c r="N69" s="17" t="s">
        <v>238</v>
      </c>
      <c r="O69" s="17" t="s">
        <v>238</v>
      </c>
      <c r="P69" s="17" t="s">
        <v>238</v>
      </c>
      <c r="Q69" s="17" t="s">
        <v>238</v>
      </c>
      <c r="R69" s="17" t="s">
        <v>238</v>
      </c>
      <c r="S69" s="17" t="s">
        <v>238</v>
      </c>
      <c r="T69" s="17" t="s">
        <v>238</v>
      </c>
      <c r="U69" s="17" t="s">
        <v>238</v>
      </c>
      <c r="V69" s="17" t="s">
        <v>238</v>
      </c>
      <c r="W69" s="17" t="s">
        <v>238</v>
      </c>
    </row>
    <row r="70" spans="2:23" x14ac:dyDescent="0.2">
      <c r="B70" s="17" t="s">
        <v>239</v>
      </c>
      <c r="C70" s="17" t="s">
        <v>239</v>
      </c>
      <c r="D70" s="17" t="s">
        <v>239</v>
      </c>
      <c r="E70" s="17" t="s">
        <v>239</v>
      </c>
      <c r="F70" s="17" t="s">
        <v>239</v>
      </c>
      <c r="G70" s="17" t="s">
        <v>239</v>
      </c>
      <c r="H70" s="17" t="s">
        <v>239</v>
      </c>
      <c r="I70" s="17" t="s">
        <v>239</v>
      </c>
      <c r="J70" s="17" t="s">
        <v>239</v>
      </c>
      <c r="K70" s="17" t="s">
        <v>239</v>
      </c>
      <c r="L70" s="17" t="s">
        <v>239</v>
      </c>
      <c r="M70" s="17" t="s">
        <v>239</v>
      </c>
      <c r="N70" s="17" t="s">
        <v>239</v>
      </c>
      <c r="O70" s="17" t="s">
        <v>239</v>
      </c>
      <c r="P70" s="17" t="s">
        <v>239</v>
      </c>
      <c r="Q70" s="17" t="s">
        <v>239</v>
      </c>
      <c r="R70" s="17" t="s">
        <v>239</v>
      </c>
      <c r="S70" s="17" t="s">
        <v>239</v>
      </c>
      <c r="T70" s="17" t="s">
        <v>239</v>
      </c>
      <c r="U70" s="17" t="s">
        <v>239</v>
      </c>
      <c r="V70" s="17" t="s">
        <v>239</v>
      </c>
      <c r="W70" s="17" t="s">
        <v>239</v>
      </c>
    </row>
    <row r="71" spans="2:23" x14ac:dyDescent="0.2">
      <c r="B71" s="17" t="s">
        <v>240</v>
      </c>
      <c r="C71" s="17" t="s">
        <v>240</v>
      </c>
      <c r="D71" s="17" t="s">
        <v>240</v>
      </c>
      <c r="E71" s="17" t="s">
        <v>240</v>
      </c>
      <c r="F71" s="17" t="s">
        <v>240</v>
      </c>
      <c r="G71" s="17" t="s">
        <v>240</v>
      </c>
      <c r="H71" s="17" t="s">
        <v>240</v>
      </c>
      <c r="I71" s="17" t="s">
        <v>240</v>
      </c>
      <c r="J71" s="17" t="s">
        <v>240</v>
      </c>
      <c r="K71" s="17" t="s">
        <v>240</v>
      </c>
      <c r="L71" s="17" t="s">
        <v>240</v>
      </c>
      <c r="M71" s="17" t="s">
        <v>240</v>
      </c>
      <c r="N71" s="17" t="s">
        <v>240</v>
      </c>
      <c r="O71" s="17" t="s">
        <v>240</v>
      </c>
      <c r="P71" s="17" t="s">
        <v>240</v>
      </c>
      <c r="Q71" s="17" t="s">
        <v>240</v>
      </c>
      <c r="R71" s="17" t="s">
        <v>240</v>
      </c>
      <c r="S71" s="17" t="s">
        <v>240</v>
      </c>
      <c r="T71" s="17" t="s">
        <v>240</v>
      </c>
      <c r="U71" s="17" t="s">
        <v>240</v>
      </c>
      <c r="V71" s="17" t="s">
        <v>240</v>
      </c>
      <c r="W71" s="17" t="s">
        <v>240</v>
      </c>
    </row>
    <row r="72" spans="2:23" x14ac:dyDescent="0.2">
      <c r="B72" s="17" t="s">
        <v>241</v>
      </c>
      <c r="C72" s="17" t="s">
        <v>241</v>
      </c>
      <c r="D72" s="17" t="s">
        <v>241</v>
      </c>
      <c r="E72" s="17" t="s">
        <v>241</v>
      </c>
      <c r="F72" s="17" t="s">
        <v>241</v>
      </c>
      <c r="G72" s="17" t="s">
        <v>241</v>
      </c>
      <c r="H72" s="17" t="s">
        <v>241</v>
      </c>
      <c r="I72" s="17" t="s">
        <v>241</v>
      </c>
      <c r="J72" s="17" t="s">
        <v>241</v>
      </c>
      <c r="K72" s="17" t="s">
        <v>241</v>
      </c>
      <c r="L72" s="17" t="s">
        <v>241</v>
      </c>
      <c r="M72" s="17" t="s">
        <v>241</v>
      </c>
      <c r="N72" s="17" t="s">
        <v>241</v>
      </c>
      <c r="O72" s="17" t="s">
        <v>241</v>
      </c>
      <c r="P72" s="17" t="s">
        <v>241</v>
      </c>
      <c r="Q72" s="17" t="s">
        <v>241</v>
      </c>
      <c r="R72" s="17" t="s">
        <v>241</v>
      </c>
      <c r="S72" s="17" t="s">
        <v>241</v>
      </c>
      <c r="T72" s="17" t="s">
        <v>241</v>
      </c>
      <c r="U72" s="17" t="s">
        <v>241</v>
      </c>
      <c r="V72" s="17" t="s">
        <v>241</v>
      </c>
      <c r="W72" s="17" t="s">
        <v>241</v>
      </c>
    </row>
    <row r="73" spans="2:23" x14ac:dyDescent="0.2">
      <c r="B73" s="17" t="s">
        <v>242</v>
      </c>
      <c r="C73" s="17" t="s">
        <v>242</v>
      </c>
      <c r="D73" s="17" t="s">
        <v>242</v>
      </c>
      <c r="E73" s="17" t="s">
        <v>242</v>
      </c>
      <c r="F73" s="17" t="s">
        <v>242</v>
      </c>
      <c r="G73" s="17" t="s">
        <v>242</v>
      </c>
      <c r="H73" s="17" t="s">
        <v>242</v>
      </c>
      <c r="I73" s="17" t="s">
        <v>242</v>
      </c>
      <c r="J73" s="17" t="s">
        <v>242</v>
      </c>
      <c r="K73" s="17" t="s">
        <v>242</v>
      </c>
      <c r="L73" s="17" t="s">
        <v>242</v>
      </c>
      <c r="M73" s="17" t="s">
        <v>242</v>
      </c>
      <c r="N73" s="17" t="s">
        <v>242</v>
      </c>
      <c r="O73" s="17" t="s">
        <v>242</v>
      </c>
      <c r="P73" s="17" t="s">
        <v>242</v>
      </c>
      <c r="Q73" s="17" t="s">
        <v>242</v>
      </c>
      <c r="R73" s="17" t="s">
        <v>242</v>
      </c>
      <c r="S73" s="17" t="s">
        <v>242</v>
      </c>
      <c r="T73" s="17" t="s">
        <v>242</v>
      </c>
      <c r="U73" s="17" t="s">
        <v>242</v>
      </c>
      <c r="V73" s="17" t="s">
        <v>242</v>
      </c>
      <c r="W73" s="17" t="s">
        <v>242</v>
      </c>
    </row>
    <row r="74" spans="2:23" x14ac:dyDescent="0.2">
      <c r="B74" s="17" t="s">
        <v>243</v>
      </c>
      <c r="C74" s="17" t="s">
        <v>243</v>
      </c>
      <c r="D74" s="17" t="s">
        <v>243</v>
      </c>
      <c r="E74" s="17" t="s">
        <v>243</v>
      </c>
      <c r="F74" s="17" t="s">
        <v>243</v>
      </c>
      <c r="G74" s="17" t="s">
        <v>243</v>
      </c>
      <c r="H74" s="17" t="s">
        <v>243</v>
      </c>
      <c r="I74" s="17" t="s">
        <v>243</v>
      </c>
      <c r="J74" s="17" t="s">
        <v>243</v>
      </c>
      <c r="K74" s="17" t="s">
        <v>243</v>
      </c>
      <c r="L74" s="17" t="s">
        <v>243</v>
      </c>
      <c r="M74" s="17" t="s">
        <v>243</v>
      </c>
      <c r="N74" s="17" t="s">
        <v>243</v>
      </c>
      <c r="O74" s="17" t="s">
        <v>243</v>
      </c>
      <c r="P74" s="17" t="s">
        <v>243</v>
      </c>
      <c r="Q74" s="17" t="s">
        <v>243</v>
      </c>
      <c r="R74" s="17" t="s">
        <v>243</v>
      </c>
      <c r="S74" s="17" t="s">
        <v>243</v>
      </c>
      <c r="T74" s="17" t="s">
        <v>243</v>
      </c>
      <c r="U74" s="17" t="s">
        <v>243</v>
      </c>
      <c r="V74" s="17" t="s">
        <v>243</v>
      </c>
      <c r="W74" s="17" t="s">
        <v>243</v>
      </c>
    </row>
    <row r="75" spans="2:23" x14ac:dyDescent="0.2">
      <c r="B75" s="17" t="s">
        <v>244</v>
      </c>
      <c r="C75" s="17" t="s">
        <v>244</v>
      </c>
      <c r="D75" s="17" t="s">
        <v>244</v>
      </c>
      <c r="E75" s="17" t="s">
        <v>244</v>
      </c>
      <c r="F75" s="17" t="s">
        <v>244</v>
      </c>
      <c r="G75" s="17" t="s">
        <v>244</v>
      </c>
      <c r="H75" s="17" t="s">
        <v>244</v>
      </c>
      <c r="I75" s="17" t="s">
        <v>244</v>
      </c>
      <c r="J75" s="17" t="s">
        <v>244</v>
      </c>
      <c r="K75" s="17" t="s">
        <v>244</v>
      </c>
      <c r="L75" s="17" t="s">
        <v>244</v>
      </c>
      <c r="M75" s="17" t="s">
        <v>244</v>
      </c>
      <c r="N75" s="17" t="s">
        <v>244</v>
      </c>
      <c r="O75" s="17" t="s">
        <v>244</v>
      </c>
      <c r="P75" s="17" t="s">
        <v>244</v>
      </c>
      <c r="Q75" s="17" t="s">
        <v>244</v>
      </c>
      <c r="R75" s="17" t="s">
        <v>244</v>
      </c>
      <c r="S75" s="17" t="s">
        <v>244</v>
      </c>
      <c r="T75" s="17" t="s">
        <v>244</v>
      </c>
      <c r="U75" s="17" t="s">
        <v>244</v>
      </c>
      <c r="V75" s="17" t="s">
        <v>244</v>
      </c>
      <c r="W75" s="17" t="s">
        <v>244</v>
      </c>
    </row>
    <row r="76" spans="2:23" x14ac:dyDescent="0.2">
      <c r="B76" s="17" t="s">
        <v>245</v>
      </c>
      <c r="C76" s="17" t="s">
        <v>245</v>
      </c>
      <c r="D76" s="17" t="s">
        <v>245</v>
      </c>
      <c r="E76" s="17" t="s">
        <v>245</v>
      </c>
      <c r="F76" s="17" t="s">
        <v>245</v>
      </c>
      <c r="G76" s="17" t="s">
        <v>245</v>
      </c>
      <c r="H76" s="17" t="s">
        <v>245</v>
      </c>
      <c r="I76" s="17" t="s">
        <v>245</v>
      </c>
      <c r="J76" s="17" t="s">
        <v>245</v>
      </c>
      <c r="K76" s="17" t="s">
        <v>245</v>
      </c>
      <c r="L76" s="17" t="s">
        <v>245</v>
      </c>
      <c r="M76" s="17" t="s">
        <v>245</v>
      </c>
      <c r="N76" s="17" t="s">
        <v>245</v>
      </c>
      <c r="O76" s="17" t="s">
        <v>245</v>
      </c>
      <c r="P76" s="17" t="s">
        <v>245</v>
      </c>
      <c r="Q76" s="17" t="s">
        <v>245</v>
      </c>
      <c r="R76" s="17" t="s">
        <v>245</v>
      </c>
      <c r="S76" s="17" t="s">
        <v>245</v>
      </c>
      <c r="T76" s="17" t="s">
        <v>245</v>
      </c>
      <c r="U76" s="17" t="s">
        <v>245</v>
      </c>
      <c r="V76" s="17" t="s">
        <v>245</v>
      </c>
      <c r="W76" s="17" t="s">
        <v>245</v>
      </c>
    </row>
    <row r="77" spans="2:23" x14ac:dyDescent="0.2">
      <c r="B77" s="17" t="s">
        <v>246</v>
      </c>
      <c r="C77" s="17" t="s">
        <v>246</v>
      </c>
      <c r="D77" s="17" t="s">
        <v>246</v>
      </c>
      <c r="E77" s="17" t="s">
        <v>246</v>
      </c>
      <c r="F77" s="17" t="s">
        <v>246</v>
      </c>
      <c r="G77" s="17" t="s">
        <v>246</v>
      </c>
      <c r="H77" s="17" t="s">
        <v>246</v>
      </c>
      <c r="I77" s="17" t="s">
        <v>246</v>
      </c>
      <c r="J77" s="17" t="s">
        <v>246</v>
      </c>
      <c r="K77" s="17" t="s">
        <v>246</v>
      </c>
      <c r="L77" s="17" t="s">
        <v>246</v>
      </c>
      <c r="M77" s="17" t="s">
        <v>246</v>
      </c>
      <c r="N77" s="17" t="s">
        <v>246</v>
      </c>
      <c r="O77" s="17" t="s">
        <v>246</v>
      </c>
      <c r="P77" s="17" t="s">
        <v>246</v>
      </c>
      <c r="Q77" s="17" t="s">
        <v>246</v>
      </c>
      <c r="R77" s="17" t="s">
        <v>246</v>
      </c>
      <c r="S77" s="17" t="s">
        <v>246</v>
      </c>
      <c r="T77" s="17" t="s">
        <v>246</v>
      </c>
      <c r="U77" s="17" t="s">
        <v>246</v>
      </c>
      <c r="V77" s="17" t="s">
        <v>246</v>
      </c>
      <c r="W77" s="17" t="s">
        <v>246</v>
      </c>
    </row>
    <row r="78" spans="2:23" x14ac:dyDescent="0.2">
      <c r="B78" s="17" t="s">
        <v>247</v>
      </c>
      <c r="C78" s="17" t="s">
        <v>247</v>
      </c>
      <c r="D78" s="17" t="s">
        <v>247</v>
      </c>
      <c r="E78" s="17" t="s">
        <v>247</v>
      </c>
      <c r="F78" s="17" t="s">
        <v>247</v>
      </c>
      <c r="G78" s="17" t="s">
        <v>247</v>
      </c>
      <c r="H78" s="17" t="s">
        <v>247</v>
      </c>
      <c r="I78" s="17" t="s">
        <v>247</v>
      </c>
      <c r="J78" s="17" t="s">
        <v>247</v>
      </c>
      <c r="K78" s="17" t="s">
        <v>247</v>
      </c>
      <c r="L78" s="17" t="s">
        <v>247</v>
      </c>
      <c r="M78" s="17" t="s">
        <v>247</v>
      </c>
      <c r="N78" s="17" t="s">
        <v>247</v>
      </c>
      <c r="O78" s="17" t="s">
        <v>247</v>
      </c>
      <c r="P78" s="17" t="s">
        <v>247</v>
      </c>
      <c r="Q78" s="17" t="s">
        <v>247</v>
      </c>
      <c r="R78" s="17" t="s">
        <v>247</v>
      </c>
      <c r="S78" s="17" t="s">
        <v>247</v>
      </c>
      <c r="T78" s="17" t="s">
        <v>247</v>
      </c>
      <c r="U78" s="17" t="s">
        <v>247</v>
      </c>
      <c r="V78" s="17" t="s">
        <v>247</v>
      </c>
      <c r="W78" s="17" t="s">
        <v>247</v>
      </c>
    </row>
    <row r="79" spans="2:23" x14ac:dyDescent="0.2">
      <c r="B79" s="17" t="s">
        <v>248</v>
      </c>
      <c r="C79" s="17" t="s">
        <v>248</v>
      </c>
      <c r="D79" s="17" t="s">
        <v>248</v>
      </c>
      <c r="E79" s="17" t="s">
        <v>248</v>
      </c>
      <c r="F79" s="17" t="s">
        <v>248</v>
      </c>
      <c r="G79" s="17" t="s">
        <v>248</v>
      </c>
      <c r="H79" s="17" t="s">
        <v>248</v>
      </c>
      <c r="I79" s="17" t="s">
        <v>248</v>
      </c>
      <c r="J79" s="17" t="s">
        <v>248</v>
      </c>
      <c r="K79" s="17" t="s">
        <v>248</v>
      </c>
      <c r="L79" s="17" t="s">
        <v>248</v>
      </c>
      <c r="M79" s="17" t="s">
        <v>248</v>
      </c>
      <c r="N79" s="17" t="s">
        <v>248</v>
      </c>
      <c r="O79" s="17" t="s">
        <v>248</v>
      </c>
      <c r="P79" s="17" t="s">
        <v>248</v>
      </c>
      <c r="Q79" s="17" t="s">
        <v>248</v>
      </c>
      <c r="R79" s="17" t="s">
        <v>248</v>
      </c>
      <c r="S79" s="17" t="s">
        <v>248</v>
      </c>
      <c r="T79" s="17" t="s">
        <v>248</v>
      </c>
      <c r="U79" s="17" t="s">
        <v>248</v>
      </c>
      <c r="V79" s="17" t="s">
        <v>248</v>
      </c>
      <c r="W79" s="17" t="s">
        <v>248</v>
      </c>
    </row>
    <row r="80" spans="2:23" x14ac:dyDescent="0.2">
      <c r="B80" s="17" t="s">
        <v>249</v>
      </c>
      <c r="C80" s="17" t="s">
        <v>249</v>
      </c>
      <c r="D80" s="17" t="s">
        <v>249</v>
      </c>
      <c r="E80" s="17" t="s">
        <v>249</v>
      </c>
      <c r="F80" s="17" t="s">
        <v>249</v>
      </c>
      <c r="G80" s="17" t="s">
        <v>249</v>
      </c>
      <c r="H80" s="17" t="s">
        <v>249</v>
      </c>
      <c r="I80" s="17" t="s">
        <v>249</v>
      </c>
      <c r="J80" s="17" t="s">
        <v>249</v>
      </c>
      <c r="K80" s="17" t="s">
        <v>249</v>
      </c>
      <c r="L80" s="17" t="s">
        <v>249</v>
      </c>
      <c r="M80" s="17" t="s">
        <v>249</v>
      </c>
      <c r="N80" s="17" t="s">
        <v>249</v>
      </c>
      <c r="O80" s="17" t="s">
        <v>249</v>
      </c>
      <c r="P80" s="17" t="s">
        <v>249</v>
      </c>
      <c r="Q80" s="17" t="s">
        <v>249</v>
      </c>
      <c r="R80" s="17" t="s">
        <v>249</v>
      </c>
      <c r="S80" s="17" t="s">
        <v>249</v>
      </c>
      <c r="T80" s="17" t="s">
        <v>249</v>
      </c>
      <c r="U80" s="17" t="s">
        <v>249</v>
      </c>
      <c r="V80" s="17" t="s">
        <v>249</v>
      </c>
      <c r="W80" s="17" t="s">
        <v>249</v>
      </c>
    </row>
    <row r="81" spans="2:23" x14ac:dyDescent="0.2">
      <c r="B81" s="17" t="s">
        <v>250</v>
      </c>
      <c r="C81" s="17" t="s">
        <v>250</v>
      </c>
      <c r="D81" s="17" t="s">
        <v>250</v>
      </c>
      <c r="E81" s="17" t="s">
        <v>250</v>
      </c>
      <c r="F81" s="17" t="s">
        <v>250</v>
      </c>
      <c r="G81" s="17" t="s">
        <v>250</v>
      </c>
      <c r="H81" s="17" t="s">
        <v>250</v>
      </c>
      <c r="I81" s="17" t="s">
        <v>250</v>
      </c>
      <c r="J81" s="17" t="s">
        <v>250</v>
      </c>
      <c r="K81" s="17" t="s">
        <v>250</v>
      </c>
      <c r="L81" s="17" t="s">
        <v>250</v>
      </c>
      <c r="M81" s="17" t="s">
        <v>250</v>
      </c>
      <c r="N81" s="17" t="s">
        <v>250</v>
      </c>
      <c r="O81" s="17" t="s">
        <v>250</v>
      </c>
      <c r="P81" s="17" t="s">
        <v>250</v>
      </c>
      <c r="Q81" s="17" t="s">
        <v>250</v>
      </c>
      <c r="R81" s="17" t="s">
        <v>250</v>
      </c>
      <c r="S81" s="17" t="s">
        <v>250</v>
      </c>
      <c r="T81" s="17" t="s">
        <v>250</v>
      </c>
      <c r="U81" s="17" t="s">
        <v>250</v>
      </c>
      <c r="V81" s="17" t="s">
        <v>250</v>
      </c>
      <c r="W81" s="17" t="s">
        <v>250</v>
      </c>
    </row>
    <row r="82" spans="2:23" x14ac:dyDescent="0.2">
      <c r="B82" s="17" t="s">
        <v>251</v>
      </c>
      <c r="C82" s="17" t="s">
        <v>251</v>
      </c>
      <c r="D82" s="17" t="s">
        <v>251</v>
      </c>
      <c r="E82" s="17" t="s">
        <v>251</v>
      </c>
      <c r="F82" s="17" t="s">
        <v>251</v>
      </c>
      <c r="G82" s="17" t="s">
        <v>251</v>
      </c>
      <c r="H82" s="17" t="s">
        <v>251</v>
      </c>
      <c r="I82" s="17" t="s">
        <v>251</v>
      </c>
      <c r="J82" s="17" t="s">
        <v>251</v>
      </c>
      <c r="K82" s="17" t="s">
        <v>251</v>
      </c>
      <c r="L82" s="17" t="s">
        <v>251</v>
      </c>
      <c r="M82" s="17" t="s">
        <v>251</v>
      </c>
      <c r="N82" s="17" t="s">
        <v>251</v>
      </c>
      <c r="O82" s="17" t="s">
        <v>251</v>
      </c>
      <c r="P82" s="17" t="s">
        <v>251</v>
      </c>
      <c r="Q82" s="17" t="s">
        <v>251</v>
      </c>
      <c r="R82" s="17" t="s">
        <v>251</v>
      </c>
      <c r="S82" s="17" t="s">
        <v>251</v>
      </c>
      <c r="T82" s="17" t="s">
        <v>251</v>
      </c>
      <c r="U82" s="17" t="s">
        <v>251</v>
      </c>
      <c r="V82" s="17" t="s">
        <v>251</v>
      </c>
      <c r="W82" s="17" t="s">
        <v>251</v>
      </c>
    </row>
    <row r="83" spans="2:23" x14ac:dyDescent="0.2">
      <c r="B83" s="16"/>
      <c r="C83" s="16"/>
    </row>
    <row r="84" spans="2:23" x14ac:dyDescent="0.2">
      <c r="B84" s="16"/>
      <c r="C84" s="16"/>
    </row>
    <row r="85" spans="2:23" x14ac:dyDescent="0.2">
      <c r="B85" s="16"/>
      <c r="C85" s="16"/>
    </row>
    <row r="86" spans="2:23" x14ac:dyDescent="0.2">
      <c r="B86" s="16"/>
      <c r="C86" s="16"/>
    </row>
    <row r="87" spans="2:23" x14ac:dyDescent="0.2">
      <c r="B87" s="16"/>
      <c r="C87" s="16"/>
    </row>
    <row r="88" spans="2:23" x14ac:dyDescent="0.2">
      <c r="B88" s="16"/>
      <c r="C88" s="16"/>
    </row>
    <row r="89" spans="2:23" x14ac:dyDescent="0.2">
      <c r="B89" s="16"/>
      <c r="C89" s="16"/>
    </row>
    <row r="90" spans="2:23" x14ac:dyDescent="0.2">
      <c r="B90" s="16"/>
      <c r="C90" s="16"/>
    </row>
    <row r="91" spans="2:23" x14ac:dyDescent="0.2">
      <c r="B91" s="16"/>
      <c r="C91" s="16"/>
    </row>
    <row r="92" spans="2:23" x14ac:dyDescent="0.2">
      <c r="B92" s="16"/>
      <c r="C92" s="16"/>
    </row>
    <row r="93" spans="2:23" x14ac:dyDescent="0.2">
      <c r="B93" s="16"/>
      <c r="C93" s="16"/>
    </row>
    <row r="94" spans="2:23" x14ac:dyDescent="0.2">
      <c r="B94" s="16"/>
      <c r="C94" s="16"/>
    </row>
    <row r="95" spans="2:23" x14ac:dyDescent="0.2">
      <c r="B95" s="16"/>
      <c r="C95" s="16"/>
    </row>
    <row r="96" spans="2:23" x14ac:dyDescent="0.2">
      <c r="B96" s="16"/>
      <c r="C96" s="16"/>
    </row>
    <row r="97" spans="2:3" x14ac:dyDescent="0.2">
      <c r="B97" s="16"/>
      <c r="C97" s="16"/>
    </row>
    <row r="98" spans="2:3" x14ac:dyDescent="0.2">
      <c r="B98" s="16"/>
      <c r="C98" s="16"/>
    </row>
    <row r="99" spans="2:3" x14ac:dyDescent="0.2">
      <c r="B99" s="16"/>
      <c r="C99" s="16"/>
    </row>
    <row r="100" spans="2:3" x14ac:dyDescent="0.2">
      <c r="B100" s="16"/>
      <c r="C100" s="16"/>
    </row>
    <row r="101" spans="2:3" x14ac:dyDescent="0.2">
      <c r="B101" s="16"/>
      <c r="C101" s="16"/>
    </row>
    <row r="102" spans="2:3" x14ac:dyDescent="0.2">
      <c r="B102" s="16"/>
      <c r="C102" s="16"/>
    </row>
    <row r="103" spans="2:3" x14ac:dyDescent="0.2">
      <c r="B103" s="16"/>
      <c r="C103" s="16"/>
    </row>
    <row r="104" spans="2:3" x14ac:dyDescent="0.2">
      <c r="B104" s="16"/>
      <c r="C104" s="16"/>
    </row>
    <row r="105" spans="2:3" x14ac:dyDescent="0.2">
      <c r="B105" s="16"/>
      <c r="C105" s="16"/>
    </row>
    <row r="106" spans="2:3" x14ac:dyDescent="0.2">
      <c r="B106" s="16"/>
      <c r="C106" s="16"/>
    </row>
    <row r="107" spans="2:3" x14ac:dyDescent="0.2">
      <c r="B107" s="16"/>
      <c r="C107" s="16"/>
    </row>
    <row r="108" spans="2:3" x14ac:dyDescent="0.2">
      <c r="B108" s="16"/>
      <c r="C108" s="16"/>
    </row>
    <row r="109" spans="2:3" x14ac:dyDescent="0.2">
      <c r="B109" s="16"/>
      <c r="C109" s="16"/>
    </row>
    <row r="110" spans="2:3" x14ac:dyDescent="0.2">
      <c r="B110" s="16"/>
      <c r="C110" s="16"/>
    </row>
    <row r="111" spans="2:3" x14ac:dyDescent="0.2">
      <c r="B111" s="16"/>
      <c r="C111" s="16"/>
    </row>
    <row r="112" spans="2:3" x14ac:dyDescent="0.2">
      <c r="B112" s="16"/>
      <c r="C112" s="16"/>
    </row>
    <row r="113" spans="2:3" x14ac:dyDescent="0.2">
      <c r="B113" s="16"/>
      <c r="C113" s="16"/>
    </row>
    <row r="114" spans="2:3" x14ac:dyDescent="0.2">
      <c r="B114" s="16"/>
      <c r="C114" s="16"/>
    </row>
    <row r="115" spans="2:3" x14ac:dyDescent="0.2">
      <c r="B115" s="16"/>
      <c r="C115" s="16"/>
    </row>
    <row r="116" spans="2:3" x14ac:dyDescent="0.2">
      <c r="B116" s="16"/>
      <c r="C116" s="16"/>
    </row>
    <row r="117" spans="2:3" x14ac:dyDescent="0.2">
      <c r="B117" s="16"/>
      <c r="C117" s="16"/>
    </row>
    <row r="118" spans="2:3" x14ac:dyDescent="0.2">
      <c r="B118" s="16"/>
      <c r="C118" s="16"/>
    </row>
    <row r="119" spans="2:3" x14ac:dyDescent="0.2">
      <c r="B119" s="16"/>
      <c r="C119" s="16"/>
    </row>
    <row r="120" spans="2:3" x14ac:dyDescent="0.2">
      <c r="B120" s="16"/>
      <c r="C120" s="16"/>
    </row>
    <row r="121" spans="2:3" x14ac:dyDescent="0.2">
      <c r="B121" s="16"/>
      <c r="C121" s="16"/>
    </row>
    <row r="122" spans="2:3" x14ac:dyDescent="0.2">
      <c r="B122" s="16"/>
      <c r="C122" s="16"/>
    </row>
    <row r="123" spans="2:3" x14ac:dyDescent="0.2">
      <c r="B123" s="16"/>
      <c r="C123" s="16"/>
    </row>
    <row r="124" spans="2:3" x14ac:dyDescent="0.2">
      <c r="B124" s="16"/>
      <c r="C124" s="16"/>
    </row>
    <row r="125" spans="2:3" x14ac:dyDescent="0.2">
      <c r="B125" s="16"/>
      <c r="C125" s="16"/>
    </row>
    <row r="126" spans="2:3" x14ac:dyDescent="0.2">
      <c r="B126" s="16"/>
      <c r="C126" s="16"/>
    </row>
    <row r="127" spans="2:3" x14ac:dyDescent="0.2">
      <c r="B127" s="16"/>
      <c r="C127" s="16"/>
    </row>
    <row r="128" spans="2:3" x14ac:dyDescent="0.2">
      <c r="B128" s="16"/>
      <c r="C128" s="16"/>
    </row>
    <row r="129" spans="2:3" x14ac:dyDescent="0.2">
      <c r="B129" s="16"/>
      <c r="C129" s="16"/>
    </row>
    <row r="130" spans="2:3" x14ac:dyDescent="0.2">
      <c r="B130" s="16"/>
      <c r="C130" s="16"/>
    </row>
    <row r="131" spans="2:3" x14ac:dyDescent="0.2">
      <c r="B131" s="16"/>
      <c r="C131" s="16"/>
    </row>
    <row r="132" spans="2:3" x14ac:dyDescent="0.2">
      <c r="B132" s="16"/>
      <c r="C132" s="16"/>
    </row>
    <row r="133" spans="2:3" x14ac:dyDescent="0.2">
      <c r="B133" s="16"/>
      <c r="C133" s="16"/>
    </row>
    <row r="134" spans="2:3" x14ac:dyDescent="0.2">
      <c r="B134" s="16"/>
      <c r="C134" s="16"/>
    </row>
    <row r="135" spans="2:3" x14ac:dyDescent="0.2">
      <c r="B135" s="16"/>
      <c r="C135" s="16"/>
    </row>
    <row r="136" spans="2:3" x14ac:dyDescent="0.2">
      <c r="B136" s="16"/>
      <c r="C136" s="16"/>
    </row>
    <row r="137" spans="2:3" x14ac:dyDescent="0.2">
      <c r="B137" s="16"/>
      <c r="C137" s="16"/>
    </row>
    <row r="138" spans="2:3" x14ac:dyDescent="0.2">
      <c r="B138" s="16"/>
      <c r="C138" s="16"/>
    </row>
    <row r="139" spans="2:3" x14ac:dyDescent="0.2">
      <c r="B139" s="16"/>
      <c r="C139" s="16"/>
    </row>
    <row r="140" spans="2:3" x14ac:dyDescent="0.2">
      <c r="B140" s="16"/>
      <c r="C140" s="16"/>
    </row>
    <row r="141" spans="2:3" x14ac:dyDescent="0.2">
      <c r="B141" s="16"/>
      <c r="C141" s="16"/>
    </row>
    <row r="142" spans="2:3" x14ac:dyDescent="0.2">
      <c r="B142" s="16"/>
      <c r="C142" s="16"/>
    </row>
    <row r="143" spans="2:3" x14ac:dyDescent="0.2">
      <c r="B143" s="16"/>
      <c r="C143" s="16"/>
    </row>
    <row r="144" spans="2:3" x14ac:dyDescent="0.2">
      <c r="B144" s="16"/>
      <c r="C144" s="16"/>
    </row>
    <row r="145" spans="2:3" x14ac:dyDescent="0.2">
      <c r="B145" s="16"/>
      <c r="C145" s="16"/>
    </row>
    <row r="146" spans="2:3" x14ac:dyDescent="0.2">
      <c r="B146" s="16"/>
      <c r="C146" s="16"/>
    </row>
    <row r="147" spans="2:3" x14ac:dyDescent="0.2">
      <c r="B147" s="16"/>
      <c r="C147" s="16"/>
    </row>
    <row r="148" spans="2:3" x14ac:dyDescent="0.2">
      <c r="B148" s="16"/>
      <c r="C148" s="16"/>
    </row>
    <row r="149" spans="2:3" x14ac:dyDescent="0.2">
      <c r="B149" s="16"/>
      <c r="C149" s="16"/>
    </row>
    <row r="150" spans="2:3" x14ac:dyDescent="0.2">
      <c r="B150" s="16"/>
      <c r="C150" s="16"/>
    </row>
    <row r="151" spans="2:3" x14ac:dyDescent="0.2">
      <c r="B151" s="16"/>
      <c r="C151" s="16"/>
    </row>
    <row r="152" spans="2:3" x14ac:dyDescent="0.2">
      <c r="B152" s="16"/>
      <c r="C152" s="16"/>
    </row>
    <row r="153" spans="2:3" x14ac:dyDescent="0.2">
      <c r="B153" s="16"/>
      <c r="C153" s="16"/>
    </row>
    <row r="154" spans="2:3" x14ac:dyDescent="0.2">
      <c r="B154" s="16"/>
      <c r="C154" s="16"/>
    </row>
    <row r="155" spans="2:3" x14ac:dyDescent="0.2">
      <c r="B155" s="16"/>
      <c r="C155" s="16"/>
    </row>
    <row r="156" spans="2:3" x14ac:dyDescent="0.2">
      <c r="B156" s="16"/>
      <c r="C156" s="16"/>
    </row>
    <row r="157" spans="2:3" x14ac:dyDescent="0.2">
      <c r="B157" s="16"/>
      <c r="C157" s="16"/>
    </row>
    <row r="158" spans="2:3" x14ac:dyDescent="0.2">
      <c r="B158" s="16"/>
      <c r="C158" s="16"/>
    </row>
    <row r="159" spans="2:3" x14ac:dyDescent="0.2">
      <c r="B159" s="16"/>
      <c r="C159" s="16"/>
    </row>
    <row r="160" spans="2:3" x14ac:dyDescent="0.2">
      <c r="B160" s="16"/>
      <c r="C160" s="16"/>
    </row>
    <row r="161" spans="2:3" x14ac:dyDescent="0.2">
      <c r="B161" s="16"/>
      <c r="C161" s="16"/>
    </row>
    <row r="162" spans="2:3" x14ac:dyDescent="0.2">
      <c r="B162" s="16"/>
      <c r="C162" s="16"/>
    </row>
    <row r="163" spans="2:3" x14ac:dyDescent="0.2">
      <c r="B163" s="16"/>
      <c r="C163" s="16"/>
    </row>
    <row r="164" spans="2:3" x14ac:dyDescent="0.2">
      <c r="B164" s="16"/>
      <c r="C164" s="16"/>
    </row>
    <row r="165" spans="2:3" x14ac:dyDescent="0.2">
      <c r="B165" s="16"/>
      <c r="C165" s="16"/>
    </row>
    <row r="166" spans="2:3" x14ac:dyDescent="0.2">
      <c r="B166" s="16"/>
      <c r="C166" s="16"/>
    </row>
    <row r="167" spans="2:3" x14ac:dyDescent="0.2">
      <c r="B167" s="16"/>
      <c r="C167" s="16"/>
    </row>
    <row r="168" spans="2:3" x14ac:dyDescent="0.2">
      <c r="B168" s="16"/>
      <c r="C168" s="16"/>
    </row>
    <row r="169" spans="2:3" x14ac:dyDescent="0.2">
      <c r="B169" s="16"/>
      <c r="C169" s="16"/>
    </row>
    <row r="170" spans="2:3" x14ac:dyDescent="0.2">
      <c r="B170" s="16"/>
      <c r="C170" s="16"/>
    </row>
    <row r="171" spans="2:3" x14ac:dyDescent="0.2">
      <c r="B171" s="16"/>
      <c r="C171" s="16"/>
    </row>
    <row r="172" spans="2:3" x14ac:dyDescent="0.2">
      <c r="B172" s="16"/>
      <c r="C172" s="16"/>
    </row>
    <row r="173" spans="2:3" x14ac:dyDescent="0.2">
      <c r="B173" s="16"/>
      <c r="C173" s="16"/>
    </row>
    <row r="174" spans="2:3" x14ac:dyDescent="0.2">
      <c r="B174" s="16"/>
      <c r="C174" s="16"/>
    </row>
    <row r="175" spans="2:3" x14ac:dyDescent="0.2">
      <c r="B175" s="16"/>
      <c r="C175" s="16"/>
    </row>
    <row r="176" spans="2:3" x14ac:dyDescent="0.2">
      <c r="B176" s="16"/>
      <c r="C176" s="16"/>
    </row>
    <row r="177" spans="2:3" x14ac:dyDescent="0.2">
      <c r="B177" s="16"/>
      <c r="C177" s="16"/>
    </row>
    <row r="178" spans="2:3" x14ac:dyDescent="0.2">
      <c r="B178" s="16"/>
      <c r="C178" s="16"/>
    </row>
    <row r="179" spans="2:3" x14ac:dyDescent="0.2">
      <c r="B179" s="16"/>
      <c r="C179" s="16"/>
    </row>
    <row r="180" spans="2:3" x14ac:dyDescent="0.2">
      <c r="B180" s="16"/>
      <c r="C180" s="16"/>
    </row>
    <row r="181" spans="2:3" x14ac:dyDescent="0.2">
      <c r="B181" s="16"/>
      <c r="C181" s="16"/>
    </row>
    <row r="182" spans="2:3" x14ac:dyDescent="0.2">
      <c r="B182" s="16"/>
      <c r="C182" s="16"/>
    </row>
    <row r="183" spans="2:3" x14ac:dyDescent="0.2">
      <c r="B183" s="16"/>
      <c r="C183" s="16"/>
    </row>
    <row r="184" spans="2:3" x14ac:dyDescent="0.2">
      <c r="B184" s="16"/>
      <c r="C184" s="16"/>
    </row>
    <row r="185" spans="2:3" x14ac:dyDescent="0.2">
      <c r="B185" s="16"/>
      <c r="C185" s="16"/>
    </row>
    <row r="186" spans="2:3" x14ac:dyDescent="0.2">
      <c r="B186" s="16"/>
      <c r="C186" s="16"/>
    </row>
    <row r="187" spans="2:3" x14ac:dyDescent="0.2">
      <c r="B187" s="16"/>
      <c r="C187" s="16"/>
    </row>
    <row r="188" spans="2:3" x14ac:dyDescent="0.2">
      <c r="B188" s="16"/>
      <c r="C188" s="16"/>
    </row>
    <row r="189" spans="2:3" x14ac:dyDescent="0.2">
      <c r="B189" s="16"/>
      <c r="C189" s="16"/>
    </row>
    <row r="190" spans="2:3" x14ac:dyDescent="0.2">
      <c r="B190" s="16"/>
      <c r="C190" s="16"/>
    </row>
    <row r="191" spans="2:3" x14ac:dyDescent="0.2">
      <c r="B191" s="16"/>
      <c r="C191" s="16"/>
    </row>
    <row r="192" spans="2:3" x14ac:dyDescent="0.2">
      <c r="B192" s="16"/>
      <c r="C192" s="16"/>
    </row>
    <row r="193" spans="2:3" x14ac:dyDescent="0.2">
      <c r="B193" s="16"/>
      <c r="C193" s="16"/>
    </row>
    <row r="194" spans="2:3" x14ac:dyDescent="0.2">
      <c r="B194" s="16"/>
      <c r="C194" s="16"/>
    </row>
    <row r="195" spans="2:3" x14ac:dyDescent="0.2">
      <c r="B195" s="16"/>
      <c r="C195" s="16"/>
    </row>
    <row r="196" spans="2:3" x14ac:dyDescent="0.2">
      <c r="B196" s="16"/>
      <c r="C196" s="16"/>
    </row>
    <row r="197" spans="2:3" x14ac:dyDescent="0.2">
      <c r="B197" s="16"/>
      <c r="C197" s="16"/>
    </row>
    <row r="198" spans="2:3" x14ac:dyDescent="0.2">
      <c r="B198" s="16"/>
      <c r="C198" s="16"/>
    </row>
    <row r="199" spans="2:3" x14ac:dyDescent="0.2">
      <c r="B199" s="16"/>
      <c r="C199" s="16"/>
    </row>
    <row r="200" spans="2:3" x14ac:dyDescent="0.2">
      <c r="B200" s="16"/>
      <c r="C200" s="16"/>
    </row>
    <row r="201" spans="2:3" x14ac:dyDescent="0.2">
      <c r="B201" s="16"/>
      <c r="C201" s="16"/>
    </row>
    <row r="202" spans="2:3" x14ac:dyDescent="0.2">
      <c r="B202" s="16"/>
      <c r="C202" s="16"/>
    </row>
    <row r="203" spans="2:3" x14ac:dyDescent="0.2">
      <c r="B203" s="16"/>
      <c r="C203" s="16"/>
    </row>
    <row r="204" spans="2:3" x14ac:dyDescent="0.2">
      <c r="B204" s="16"/>
      <c r="C204" s="16"/>
    </row>
    <row r="205" spans="2:3" x14ac:dyDescent="0.2">
      <c r="B205" s="16"/>
      <c r="C205" s="16"/>
    </row>
    <row r="206" spans="2:3" x14ac:dyDescent="0.2">
      <c r="B206" s="16"/>
      <c r="C206" s="16"/>
    </row>
    <row r="207" spans="2:3" x14ac:dyDescent="0.2">
      <c r="B207" s="16"/>
      <c r="C207" s="16"/>
    </row>
    <row r="208" spans="2:3" x14ac:dyDescent="0.2">
      <c r="B208" s="16"/>
      <c r="C208" s="16"/>
    </row>
    <row r="209" spans="2:3" x14ac:dyDescent="0.2">
      <c r="B209" s="16"/>
      <c r="C209" s="16"/>
    </row>
    <row r="210" spans="2:3" x14ac:dyDescent="0.2">
      <c r="B210" s="16"/>
      <c r="C210" s="16"/>
    </row>
    <row r="211" spans="2:3" x14ac:dyDescent="0.2">
      <c r="B211" s="16"/>
      <c r="C211" s="16"/>
    </row>
    <row r="212" spans="2:3" x14ac:dyDescent="0.2">
      <c r="B212" s="16"/>
      <c r="C212" s="16"/>
    </row>
    <row r="213" spans="2:3" x14ac:dyDescent="0.2">
      <c r="B213" s="16"/>
      <c r="C213" s="16"/>
    </row>
    <row r="214" spans="2:3" x14ac:dyDescent="0.2">
      <c r="B214" s="16"/>
      <c r="C214" s="16"/>
    </row>
    <row r="215" spans="2:3" x14ac:dyDescent="0.2">
      <c r="B215" s="16"/>
      <c r="C215" s="16"/>
    </row>
    <row r="216" spans="2:3" x14ac:dyDescent="0.2">
      <c r="B216" s="16"/>
      <c r="C216" s="16"/>
    </row>
    <row r="217" spans="2:3" x14ac:dyDescent="0.2">
      <c r="B217" s="16"/>
      <c r="C217" s="16"/>
    </row>
    <row r="218" spans="2:3" x14ac:dyDescent="0.2">
      <c r="B218" s="16"/>
      <c r="C218" s="16"/>
    </row>
    <row r="219" spans="2:3" x14ac:dyDescent="0.2">
      <c r="B219" s="16"/>
      <c r="C219" s="16"/>
    </row>
    <row r="220" spans="2:3" x14ac:dyDescent="0.2">
      <c r="B220" s="16"/>
      <c r="C220" s="16"/>
    </row>
    <row r="221" spans="2:3" x14ac:dyDescent="0.2">
      <c r="B221" s="16"/>
      <c r="C221" s="16"/>
    </row>
    <row r="222" spans="2:3" x14ac:dyDescent="0.2">
      <c r="B222" s="16"/>
      <c r="C222" s="16"/>
    </row>
    <row r="223" spans="2:3" x14ac:dyDescent="0.2">
      <c r="B223" s="16"/>
      <c r="C223" s="16"/>
    </row>
    <row r="224" spans="2:3" x14ac:dyDescent="0.2">
      <c r="B224" s="16"/>
      <c r="C224" s="16"/>
    </row>
    <row r="225" spans="2:3" x14ac:dyDescent="0.2">
      <c r="B225" s="16"/>
      <c r="C225" s="16"/>
    </row>
    <row r="226" spans="2:3" x14ac:dyDescent="0.2">
      <c r="B226" s="16"/>
      <c r="C226" s="16"/>
    </row>
    <row r="227" spans="2:3" x14ac:dyDescent="0.2">
      <c r="B227" s="16"/>
      <c r="C227" s="16"/>
    </row>
    <row r="228" spans="2:3" x14ac:dyDescent="0.2">
      <c r="B228" s="16"/>
      <c r="C228" s="16"/>
    </row>
    <row r="229" spans="2:3" x14ac:dyDescent="0.2">
      <c r="B229" s="16"/>
      <c r="C229" s="16"/>
    </row>
    <row r="230" spans="2:3" x14ac:dyDescent="0.2">
      <c r="B230" s="16"/>
      <c r="C230" s="16"/>
    </row>
    <row r="231" spans="2:3" x14ac:dyDescent="0.2">
      <c r="B231" s="16"/>
      <c r="C231" s="16"/>
    </row>
    <row r="232" spans="2:3" x14ac:dyDescent="0.2">
      <c r="B232" s="16"/>
      <c r="C232" s="16"/>
    </row>
    <row r="233" spans="2:3" x14ac:dyDescent="0.2">
      <c r="B233" s="16"/>
      <c r="C233" s="16"/>
    </row>
    <row r="234" spans="2:3" x14ac:dyDescent="0.2">
      <c r="B234" s="16"/>
      <c r="C234" s="16"/>
    </row>
    <row r="235" spans="2:3" x14ac:dyDescent="0.2">
      <c r="B235" s="16"/>
      <c r="C235" s="16"/>
    </row>
    <row r="236" spans="2:3" x14ac:dyDescent="0.2">
      <c r="B236" s="16"/>
      <c r="C236" s="16"/>
    </row>
    <row r="237" spans="2:3" x14ac:dyDescent="0.2">
      <c r="B237" s="16"/>
      <c r="C237" s="16"/>
    </row>
    <row r="238" spans="2:3" x14ac:dyDescent="0.2">
      <c r="B238" s="16"/>
      <c r="C238" s="16"/>
    </row>
    <row r="239" spans="2:3" x14ac:dyDescent="0.2">
      <c r="B239" s="16"/>
      <c r="C239" s="16"/>
    </row>
    <row r="240" spans="2:3" x14ac:dyDescent="0.2">
      <c r="B240" s="16"/>
      <c r="C240" s="16"/>
    </row>
    <row r="241" spans="2:3" x14ac:dyDescent="0.2">
      <c r="B241" s="16"/>
      <c r="C241" s="16"/>
    </row>
    <row r="242" spans="2:3" x14ac:dyDescent="0.2">
      <c r="B242" s="16"/>
      <c r="C242" s="16"/>
    </row>
    <row r="243" spans="2:3" x14ac:dyDescent="0.2">
      <c r="B243" s="16"/>
      <c r="C243" s="16"/>
    </row>
    <row r="244" spans="2:3" x14ac:dyDescent="0.2">
      <c r="B244" s="16"/>
      <c r="C244" s="16"/>
    </row>
    <row r="245" spans="2:3" x14ac:dyDescent="0.2">
      <c r="B245" s="16"/>
      <c r="C245" s="16"/>
    </row>
    <row r="246" spans="2:3" x14ac:dyDescent="0.2">
      <c r="B246" s="16"/>
      <c r="C246" s="16"/>
    </row>
    <row r="247" spans="2:3" x14ac:dyDescent="0.2">
      <c r="B247" s="16"/>
      <c r="C247" s="16"/>
    </row>
    <row r="248" spans="2:3" x14ac:dyDescent="0.2">
      <c r="B248" s="16"/>
      <c r="C248" s="16"/>
    </row>
    <row r="249" spans="2:3" x14ac:dyDescent="0.2">
      <c r="B249" s="16"/>
      <c r="C249" s="16"/>
    </row>
    <row r="250" spans="2:3" x14ac:dyDescent="0.2">
      <c r="B250" s="16"/>
      <c r="C250" s="16"/>
    </row>
    <row r="251" spans="2:3" x14ac:dyDescent="0.2">
      <c r="B251" s="16"/>
      <c r="C251" s="16"/>
    </row>
    <row r="252" spans="2:3" x14ac:dyDescent="0.2">
      <c r="B252" s="16"/>
      <c r="C252" s="16"/>
    </row>
    <row r="253" spans="2:3" x14ac:dyDescent="0.2">
      <c r="B253" s="16"/>
      <c r="C253" s="16"/>
    </row>
    <row r="254" spans="2:3" x14ac:dyDescent="0.2">
      <c r="B254" s="16"/>
      <c r="C254" s="16"/>
    </row>
    <row r="255" spans="2:3" x14ac:dyDescent="0.2">
      <c r="B255" s="16"/>
      <c r="C255" s="16"/>
    </row>
    <row r="256" spans="2:3" x14ac:dyDescent="0.2">
      <c r="B256" s="16"/>
      <c r="C256" s="16"/>
    </row>
    <row r="257" spans="2:3" x14ac:dyDescent="0.2">
      <c r="B257" s="16"/>
      <c r="C257" s="16"/>
    </row>
    <row r="258" spans="2:3" x14ac:dyDescent="0.2">
      <c r="B258" s="16"/>
      <c r="C258" s="16"/>
    </row>
    <row r="259" spans="2:3" x14ac:dyDescent="0.2">
      <c r="B259" s="16"/>
      <c r="C259" s="16"/>
    </row>
    <row r="260" spans="2:3" x14ac:dyDescent="0.2">
      <c r="B260" s="16"/>
      <c r="C260" s="16"/>
    </row>
    <row r="261" spans="2:3" x14ac:dyDescent="0.2">
      <c r="B261" s="16"/>
      <c r="C261" s="16"/>
    </row>
    <row r="262" spans="2:3" x14ac:dyDescent="0.2">
      <c r="B262" s="16"/>
      <c r="C262" s="16"/>
    </row>
    <row r="263" spans="2:3" x14ac:dyDescent="0.2">
      <c r="B263" s="16"/>
      <c r="C263" s="16"/>
    </row>
    <row r="264" spans="2:3" x14ac:dyDescent="0.2">
      <c r="B264" s="16"/>
      <c r="C264" s="16"/>
    </row>
    <row r="265" spans="2:3" x14ac:dyDescent="0.2">
      <c r="B265" s="16"/>
      <c r="C265" s="16"/>
    </row>
    <row r="266" spans="2:3" x14ac:dyDescent="0.2">
      <c r="B266" s="16"/>
      <c r="C266" s="16"/>
    </row>
    <row r="267" spans="2:3" x14ac:dyDescent="0.2">
      <c r="B267" s="16"/>
      <c r="C267" s="16"/>
    </row>
    <row r="268" spans="2:3" x14ac:dyDescent="0.2">
      <c r="B268" s="16"/>
      <c r="C268" s="16"/>
    </row>
    <row r="269" spans="2:3" x14ac:dyDescent="0.2">
      <c r="B269" s="16"/>
      <c r="C269" s="16"/>
    </row>
    <row r="270" spans="2:3" x14ac:dyDescent="0.2">
      <c r="B270" s="16"/>
      <c r="C270" s="16"/>
    </row>
    <row r="271" spans="2:3" x14ac:dyDescent="0.2">
      <c r="B271" s="16"/>
      <c r="C271" s="16"/>
    </row>
    <row r="272" spans="2:3" x14ac:dyDescent="0.2">
      <c r="B272" s="16"/>
      <c r="C272" s="16"/>
    </row>
    <row r="273" spans="2:3" x14ac:dyDescent="0.2">
      <c r="B273" s="16"/>
      <c r="C273" s="16"/>
    </row>
    <row r="274" spans="2:3" x14ac:dyDescent="0.2">
      <c r="B274" s="16"/>
      <c r="C274" s="16"/>
    </row>
    <row r="275" spans="2:3" x14ac:dyDescent="0.2">
      <c r="B275" s="16"/>
      <c r="C275" s="16"/>
    </row>
    <row r="276" spans="2:3" x14ac:dyDescent="0.2">
      <c r="B276" s="16"/>
      <c r="C276" s="16"/>
    </row>
    <row r="277" spans="2:3" x14ac:dyDescent="0.2">
      <c r="B277" s="16"/>
      <c r="C277" s="16"/>
    </row>
    <row r="278" spans="2:3" x14ac:dyDescent="0.2">
      <c r="B278" s="16"/>
      <c r="C278" s="16"/>
    </row>
    <row r="279" spans="2:3" x14ac:dyDescent="0.2">
      <c r="B279" s="16"/>
      <c r="C279" s="16"/>
    </row>
    <row r="280" spans="2:3" x14ac:dyDescent="0.2">
      <c r="B280" s="16"/>
      <c r="C280" s="16"/>
    </row>
    <row r="281" spans="2:3" x14ac:dyDescent="0.2">
      <c r="B281" s="16"/>
      <c r="C281" s="16"/>
    </row>
    <row r="282" spans="2:3" x14ac:dyDescent="0.2">
      <c r="B282" s="16"/>
      <c r="C282" s="16"/>
    </row>
    <row r="283" spans="2:3" x14ac:dyDescent="0.2">
      <c r="B283" s="16"/>
      <c r="C283" s="16"/>
    </row>
    <row r="284" spans="2:3" x14ac:dyDescent="0.2">
      <c r="B284" s="16"/>
      <c r="C284" s="16"/>
    </row>
    <row r="285" spans="2:3" x14ac:dyDescent="0.2">
      <c r="B285" s="16"/>
      <c r="C285" s="16"/>
    </row>
    <row r="286" spans="2:3" x14ac:dyDescent="0.2">
      <c r="B286" s="16"/>
      <c r="C286" s="16"/>
    </row>
    <row r="287" spans="2:3" x14ac:dyDescent="0.2">
      <c r="B287" s="16"/>
      <c r="C287" s="16"/>
    </row>
    <row r="288" spans="2:3" x14ac:dyDescent="0.2">
      <c r="B288" s="16"/>
      <c r="C288" s="16"/>
    </row>
    <row r="289" spans="2:3" x14ac:dyDescent="0.2">
      <c r="B289" s="16"/>
      <c r="C289" s="16"/>
    </row>
    <row r="290" spans="2:3" x14ac:dyDescent="0.2">
      <c r="B290" s="16"/>
      <c r="C290" s="16"/>
    </row>
    <row r="291" spans="2:3" x14ac:dyDescent="0.2">
      <c r="B291" s="16"/>
      <c r="C291" s="16"/>
    </row>
    <row r="292" spans="2:3" x14ac:dyDescent="0.2">
      <c r="B292" s="16"/>
      <c r="C292" s="16"/>
    </row>
    <row r="293" spans="2:3" x14ac:dyDescent="0.2">
      <c r="B293" s="16"/>
      <c r="C293" s="16"/>
    </row>
    <row r="294" spans="2:3" x14ac:dyDescent="0.2">
      <c r="B294" s="16"/>
      <c r="C294" s="16"/>
    </row>
    <row r="295" spans="2:3" x14ac:dyDescent="0.2">
      <c r="B295" s="16"/>
      <c r="C295" s="16"/>
    </row>
    <row r="296" spans="2:3" x14ac:dyDescent="0.2">
      <c r="B296" s="16"/>
      <c r="C296" s="16"/>
    </row>
    <row r="297" spans="2:3" x14ac:dyDescent="0.2">
      <c r="B297" s="16"/>
      <c r="C297" s="16"/>
    </row>
    <row r="298" spans="2:3" x14ac:dyDescent="0.2">
      <c r="B298" s="16"/>
      <c r="C298" s="16"/>
    </row>
    <row r="299" spans="2:3" x14ac:dyDescent="0.2">
      <c r="B299" s="16"/>
      <c r="C299" s="16"/>
    </row>
    <row r="300" spans="2:3" x14ac:dyDescent="0.2">
      <c r="B300" s="16"/>
      <c r="C300" s="16"/>
    </row>
    <row r="301" spans="2:3" x14ac:dyDescent="0.2">
      <c r="B301" s="16"/>
      <c r="C301" s="16"/>
    </row>
    <row r="302" spans="2:3" x14ac:dyDescent="0.2">
      <c r="B302" s="16"/>
      <c r="C302" s="16"/>
    </row>
    <row r="303" spans="2:3" x14ac:dyDescent="0.2">
      <c r="B303" s="16"/>
      <c r="C303" s="16"/>
    </row>
    <row r="304" spans="2:3" x14ac:dyDescent="0.2">
      <c r="B304" s="16"/>
      <c r="C304" s="16"/>
    </row>
    <row r="305" spans="2:3" x14ac:dyDescent="0.2">
      <c r="B305" s="16"/>
      <c r="C305" s="16"/>
    </row>
    <row r="306" spans="2:3" x14ac:dyDescent="0.2">
      <c r="B306" s="16"/>
      <c r="C306" s="16"/>
    </row>
    <row r="307" spans="2:3" x14ac:dyDescent="0.2">
      <c r="B307" s="16"/>
      <c r="C307" s="16"/>
    </row>
    <row r="308" spans="2:3" x14ac:dyDescent="0.2">
      <c r="B308" s="16"/>
      <c r="C308" s="16"/>
    </row>
    <row r="309" spans="2:3" x14ac:dyDescent="0.2">
      <c r="B309" s="16"/>
      <c r="C309" s="16"/>
    </row>
    <row r="310" spans="2:3" x14ac:dyDescent="0.2">
      <c r="B310" s="16"/>
      <c r="C310" s="16"/>
    </row>
    <row r="311" spans="2:3" x14ac:dyDescent="0.2">
      <c r="B311" s="16"/>
      <c r="C311" s="16"/>
    </row>
    <row r="312" spans="2:3" x14ac:dyDescent="0.2">
      <c r="B312" s="16"/>
      <c r="C312" s="16"/>
    </row>
    <row r="313" spans="2:3" x14ac:dyDescent="0.2">
      <c r="B313" s="16"/>
      <c r="C313" s="16"/>
    </row>
    <row r="314" spans="2:3" x14ac:dyDescent="0.2">
      <c r="B314" s="16"/>
      <c r="C314" s="16"/>
    </row>
    <row r="315" spans="2:3" x14ac:dyDescent="0.2">
      <c r="B315" s="16"/>
      <c r="C315" s="16"/>
    </row>
    <row r="316" spans="2:3" x14ac:dyDescent="0.2">
      <c r="B316" s="16"/>
      <c r="C316" s="16"/>
    </row>
    <row r="317" spans="2:3" x14ac:dyDescent="0.2">
      <c r="B317" s="16"/>
      <c r="C317" s="16"/>
    </row>
    <row r="318" spans="2:3" x14ac:dyDescent="0.2">
      <c r="B318" s="16"/>
      <c r="C318" s="16"/>
    </row>
    <row r="319" spans="2:3" x14ac:dyDescent="0.2">
      <c r="B319" s="16"/>
      <c r="C319" s="16"/>
    </row>
    <row r="320" spans="2:3" x14ac:dyDescent="0.2">
      <c r="B320" s="16"/>
      <c r="C320" s="16"/>
    </row>
    <row r="321" spans="2:3" x14ac:dyDescent="0.2">
      <c r="B321" s="16"/>
      <c r="C321" s="16"/>
    </row>
    <row r="322" spans="2:3" x14ac:dyDescent="0.2">
      <c r="B322" s="16"/>
      <c r="C322" s="16"/>
    </row>
    <row r="323" spans="2:3" x14ac:dyDescent="0.2">
      <c r="B323" s="16"/>
      <c r="C323" s="16"/>
    </row>
    <row r="324" spans="2:3" x14ac:dyDescent="0.2">
      <c r="B324" s="16"/>
      <c r="C324" s="16"/>
    </row>
    <row r="325" spans="2:3" x14ac:dyDescent="0.2">
      <c r="B325" s="16"/>
      <c r="C325" s="16"/>
    </row>
    <row r="326" spans="2:3" x14ac:dyDescent="0.2">
      <c r="B326" s="16"/>
      <c r="C326" s="16"/>
    </row>
    <row r="327" spans="2:3" x14ac:dyDescent="0.2">
      <c r="B327" s="16"/>
      <c r="C327" s="16"/>
    </row>
    <row r="328" spans="2:3" x14ac:dyDescent="0.2">
      <c r="B328" s="16"/>
      <c r="C328" s="16"/>
    </row>
    <row r="329" spans="2:3" x14ac:dyDescent="0.2">
      <c r="B329" s="16"/>
      <c r="C329" s="16"/>
    </row>
    <row r="330" spans="2:3" x14ac:dyDescent="0.2">
      <c r="B330" s="16"/>
      <c r="C330" s="16"/>
    </row>
    <row r="331" spans="2:3" x14ac:dyDescent="0.2">
      <c r="B331" s="16"/>
      <c r="C331" s="16"/>
    </row>
    <row r="332" spans="2:3" x14ac:dyDescent="0.2">
      <c r="B332" s="16"/>
      <c r="C332" s="16"/>
    </row>
    <row r="333" spans="2:3" x14ac:dyDescent="0.2">
      <c r="B333" s="16"/>
      <c r="C333" s="16"/>
    </row>
    <row r="334" spans="2:3" x14ac:dyDescent="0.2">
      <c r="B334" s="16"/>
      <c r="C334" s="16"/>
    </row>
    <row r="335" spans="2:3" x14ac:dyDescent="0.2">
      <c r="B335" s="16"/>
      <c r="C335" s="16"/>
    </row>
    <row r="336" spans="2:3" x14ac:dyDescent="0.2">
      <c r="B336" s="16"/>
      <c r="C336" s="16"/>
    </row>
    <row r="337" spans="2:3" x14ac:dyDescent="0.2">
      <c r="B337" s="16"/>
      <c r="C337" s="16"/>
    </row>
    <row r="338" spans="2:3" x14ac:dyDescent="0.2">
      <c r="B338" s="16"/>
      <c r="C338" s="16"/>
    </row>
    <row r="339" spans="2:3" x14ac:dyDescent="0.2">
      <c r="B339" s="16"/>
      <c r="C339" s="16"/>
    </row>
    <row r="340" spans="2:3" x14ac:dyDescent="0.2">
      <c r="B340" s="16"/>
      <c r="C340" s="16"/>
    </row>
    <row r="341" spans="2:3" x14ac:dyDescent="0.2">
      <c r="B341" s="16"/>
      <c r="C341" s="16"/>
    </row>
    <row r="342" spans="2:3" x14ac:dyDescent="0.2">
      <c r="B342" s="16"/>
      <c r="C342" s="16"/>
    </row>
    <row r="343" spans="2:3" x14ac:dyDescent="0.2">
      <c r="B343" s="16"/>
      <c r="C343" s="16"/>
    </row>
    <row r="344" spans="2:3" x14ac:dyDescent="0.2">
      <c r="B344" s="16"/>
      <c r="C344" s="16"/>
    </row>
    <row r="345" spans="2:3" x14ac:dyDescent="0.2">
      <c r="B345" s="16"/>
      <c r="C345" s="16"/>
    </row>
    <row r="346" spans="2:3" x14ac:dyDescent="0.2">
      <c r="B346" s="16"/>
      <c r="C346" s="16"/>
    </row>
    <row r="347" spans="2:3" x14ac:dyDescent="0.2">
      <c r="B347" s="16"/>
      <c r="C347" s="16"/>
    </row>
    <row r="348" spans="2:3" x14ac:dyDescent="0.2">
      <c r="B348" s="16"/>
      <c r="C348" s="16"/>
    </row>
    <row r="349" spans="2:3" x14ac:dyDescent="0.2">
      <c r="B349" s="16"/>
      <c r="C349" s="16"/>
    </row>
    <row r="350" spans="2:3" x14ac:dyDescent="0.2">
      <c r="B350" s="16"/>
      <c r="C350" s="16"/>
    </row>
    <row r="351" spans="2:3" x14ac:dyDescent="0.2">
      <c r="B351" s="16"/>
      <c r="C351" s="16"/>
    </row>
    <row r="352" spans="2:3" x14ac:dyDescent="0.2">
      <c r="B352" s="16"/>
      <c r="C352" s="16"/>
    </row>
    <row r="353" spans="2:3" x14ac:dyDescent="0.2">
      <c r="B353" s="16"/>
      <c r="C353" s="16"/>
    </row>
    <row r="354" spans="2:3" x14ac:dyDescent="0.2">
      <c r="B354" s="16"/>
      <c r="C354" s="16"/>
    </row>
    <row r="355" spans="2:3" x14ac:dyDescent="0.2">
      <c r="B355" s="16"/>
      <c r="C355" s="16"/>
    </row>
    <row r="356" spans="2:3" x14ac:dyDescent="0.2">
      <c r="B356" s="16"/>
      <c r="C356" s="16"/>
    </row>
    <row r="357" spans="2:3" x14ac:dyDescent="0.2">
      <c r="B357" s="16"/>
      <c r="C357" s="16"/>
    </row>
    <row r="358" spans="2:3" x14ac:dyDescent="0.2">
      <c r="B358" s="16"/>
      <c r="C358" s="16"/>
    </row>
    <row r="359" spans="2:3" x14ac:dyDescent="0.2">
      <c r="B359" s="16"/>
      <c r="C359" s="16"/>
    </row>
    <row r="360" spans="2:3" x14ac:dyDescent="0.2">
      <c r="B360" s="16"/>
      <c r="C360" s="16"/>
    </row>
    <row r="361" spans="2:3" x14ac:dyDescent="0.2">
      <c r="B361" s="16"/>
      <c r="C361" s="16"/>
    </row>
    <row r="362" spans="2:3" x14ac:dyDescent="0.2">
      <c r="B362" s="16"/>
      <c r="C362" s="16"/>
    </row>
    <row r="363" spans="2:3" x14ac:dyDescent="0.2">
      <c r="B363" s="16"/>
      <c r="C363" s="16"/>
    </row>
    <row r="364" spans="2:3" x14ac:dyDescent="0.2">
      <c r="B364" s="16"/>
      <c r="C364" s="16"/>
    </row>
    <row r="365" spans="2:3" x14ac:dyDescent="0.2">
      <c r="B365" s="16"/>
      <c r="C365" s="16"/>
    </row>
    <row r="366" spans="2:3" x14ac:dyDescent="0.2">
      <c r="B366" s="16"/>
      <c r="C366" s="16"/>
    </row>
    <row r="367" spans="2:3" x14ac:dyDescent="0.2">
      <c r="B367" s="16"/>
      <c r="C367" s="16"/>
    </row>
    <row r="368" spans="2:3" x14ac:dyDescent="0.2">
      <c r="B368" s="16"/>
      <c r="C368" s="16"/>
    </row>
    <row r="369" spans="2:3" x14ac:dyDescent="0.2">
      <c r="B369" s="16"/>
      <c r="C369" s="16"/>
    </row>
    <row r="370" spans="2:3" x14ac:dyDescent="0.2">
      <c r="B370" s="16"/>
      <c r="C370" s="16"/>
    </row>
    <row r="371" spans="2:3" x14ac:dyDescent="0.2">
      <c r="B371" s="16"/>
      <c r="C371" s="16"/>
    </row>
    <row r="372" spans="2:3" x14ac:dyDescent="0.2">
      <c r="B372" s="16"/>
      <c r="C372" s="16"/>
    </row>
    <row r="373" spans="2:3" x14ac:dyDescent="0.2">
      <c r="B373" s="16"/>
      <c r="C373" s="16"/>
    </row>
    <row r="374" spans="2:3" x14ac:dyDescent="0.2">
      <c r="B374" s="16"/>
      <c r="C374" s="16"/>
    </row>
    <row r="375" spans="2:3" x14ac:dyDescent="0.2">
      <c r="B375" s="16"/>
      <c r="C375" s="16"/>
    </row>
    <row r="376" spans="2:3" x14ac:dyDescent="0.2">
      <c r="B376" s="16"/>
      <c r="C376" s="16"/>
    </row>
    <row r="377" spans="2:3" x14ac:dyDescent="0.2">
      <c r="B377" s="16"/>
      <c r="C377" s="16"/>
    </row>
    <row r="378" spans="2:3" x14ac:dyDescent="0.2">
      <c r="B378" s="16"/>
      <c r="C378" s="16"/>
    </row>
    <row r="379" spans="2:3" x14ac:dyDescent="0.2">
      <c r="B379" s="16"/>
      <c r="C379" s="16"/>
    </row>
    <row r="380" spans="2:3" x14ac:dyDescent="0.2">
      <c r="B380" s="16"/>
      <c r="C380" s="16"/>
    </row>
    <row r="381" spans="2:3" x14ac:dyDescent="0.2">
      <c r="B381" s="16"/>
      <c r="C381" s="16"/>
    </row>
    <row r="382" spans="2:3" x14ac:dyDescent="0.2">
      <c r="B382" s="16"/>
      <c r="C382" s="16"/>
    </row>
    <row r="383" spans="2:3" x14ac:dyDescent="0.2">
      <c r="B383" s="16"/>
      <c r="C383" s="16"/>
    </row>
    <row r="384" spans="2:3" x14ac:dyDescent="0.2">
      <c r="B384" s="16"/>
      <c r="C384" s="16"/>
    </row>
    <row r="385" spans="2:3" x14ac:dyDescent="0.2">
      <c r="B385" s="16"/>
      <c r="C385" s="16"/>
    </row>
    <row r="386" spans="2:3" x14ac:dyDescent="0.2">
      <c r="B386" s="16"/>
      <c r="C386" s="16"/>
    </row>
    <row r="387" spans="2:3" x14ac:dyDescent="0.2">
      <c r="B387" s="16"/>
      <c r="C387" s="16"/>
    </row>
    <row r="388" spans="2:3" x14ac:dyDescent="0.2">
      <c r="B388" s="16"/>
      <c r="C388" s="16"/>
    </row>
    <row r="389" spans="2:3" x14ac:dyDescent="0.2">
      <c r="B389" s="16"/>
      <c r="C389" s="16"/>
    </row>
    <row r="390" spans="2:3" x14ac:dyDescent="0.2">
      <c r="B390" s="16"/>
      <c r="C390" s="16"/>
    </row>
    <row r="391" spans="2:3" x14ac:dyDescent="0.2">
      <c r="B391" s="16"/>
      <c r="C391" s="16"/>
    </row>
    <row r="392" spans="2:3" x14ac:dyDescent="0.2">
      <c r="B392" s="16"/>
      <c r="C392" s="16"/>
    </row>
    <row r="393" spans="2:3" x14ac:dyDescent="0.2">
      <c r="B393" s="16"/>
      <c r="C393" s="16"/>
    </row>
    <row r="394" spans="2:3" x14ac:dyDescent="0.2">
      <c r="B394" s="16"/>
      <c r="C394" s="16"/>
    </row>
    <row r="395" spans="2:3" x14ac:dyDescent="0.2">
      <c r="B395" s="16"/>
      <c r="C395" s="16"/>
    </row>
    <row r="396" spans="2:3" x14ac:dyDescent="0.2">
      <c r="B396" s="16"/>
      <c r="C396" s="16"/>
    </row>
    <row r="397" spans="2:3" x14ac:dyDescent="0.2">
      <c r="B397" s="16"/>
      <c r="C397" s="16"/>
    </row>
    <row r="398" spans="2:3" x14ac:dyDescent="0.2">
      <c r="B398" s="16"/>
      <c r="C398" s="16"/>
    </row>
    <row r="399" spans="2:3" x14ac:dyDescent="0.2">
      <c r="B399" s="16"/>
      <c r="C399" s="16"/>
    </row>
    <row r="400" spans="2:3" x14ac:dyDescent="0.2">
      <c r="B400" s="16"/>
      <c r="C400" s="16"/>
    </row>
    <row r="401" spans="2:3" x14ac:dyDescent="0.2">
      <c r="B401" s="16"/>
      <c r="C401" s="16"/>
    </row>
    <row r="402" spans="2:3" x14ac:dyDescent="0.2">
      <c r="B402" s="16"/>
      <c r="C402" s="16"/>
    </row>
    <row r="403" spans="2:3" x14ac:dyDescent="0.2">
      <c r="B403" s="16"/>
      <c r="C403" s="16"/>
    </row>
    <row r="404" spans="2:3" x14ac:dyDescent="0.2">
      <c r="B404" s="16"/>
      <c r="C404" s="16"/>
    </row>
    <row r="405" spans="2:3" x14ac:dyDescent="0.2">
      <c r="B405" s="16"/>
      <c r="C405" s="16"/>
    </row>
    <row r="406" spans="2:3" x14ac:dyDescent="0.2">
      <c r="B406" s="16"/>
      <c r="C406" s="16"/>
    </row>
    <row r="407" spans="2:3" x14ac:dyDescent="0.2">
      <c r="B407" s="16"/>
      <c r="C407" s="16"/>
    </row>
    <row r="408" spans="2:3" x14ac:dyDescent="0.2">
      <c r="B408" s="16"/>
      <c r="C408" s="16"/>
    </row>
    <row r="409" spans="2:3" x14ac:dyDescent="0.2">
      <c r="B409" s="16"/>
      <c r="C409" s="16"/>
    </row>
    <row r="410" spans="2:3" x14ac:dyDescent="0.2">
      <c r="B410" s="16"/>
      <c r="C410" s="16"/>
    </row>
    <row r="411" spans="2:3" x14ac:dyDescent="0.2">
      <c r="B411" s="16"/>
      <c r="C411" s="16"/>
    </row>
    <row r="412" spans="2:3" x14ac:dyDescent="0.2">
      <c r="B412" s="16"/>
      <c r="C412" s="16"/>
    </row>
    <row r="413" spans="2:3" x14ac:dyDescent="0.2">
      <c r="B413" s="16"/>
      <c r="C413" s="16"/>
    </row>
    <row r="414" spans="2:3" x14ac:dyDescent="0.2">
      <c r="B414" s="16"/>
      <c r="C414" s="16"/>
    </row>
    <row r="415" spans="2:3" x14ac:dyDescent="0.2">
      <c r="B415" s="16"/>
      <c r="C415" s="16"/>
    </row>
    <row r="416" spans="2:3" x14ac:dyDescent="0.2">
      <c r="B416" s="16"/>
      <c r="C416" s="16"/>
    </row>
    <row r="417" spans="2:3" x14ac:dyDescent="0.2">
      <c r="B417" s="16"/>
      <c r="C417" s="16"/>
    </row>
    <row r="418" spans="2:3" x14ac:dyDescent="0.2">
      <c r="B418" s="16"/>
      <c r="C418" s="16"/>
    </row>
    <row r="419" spans="2:3" x14ac:dyDescent="0.2">
      <c r="B419" s="16"/>
      <c r="C419" s="16"/>
    </row>
    <row r="420" spans="2:3" x14ac:dyDescent="0.2">
      <c r="B420" s="16"/>
      <c r="C420" s="16"/>
    </row>
    <row r="421" spans="2:3" x14ac:dyDescent="0.2">
      <c r="B421" s="16"/>
      <c r="C421" s="16"/>
    </row>
    <row r="422" spans="2:3" x14ac:dyDescent="0.2">
      <c r="B422" s="16"/>
      <c r="C422" s="16"/>
    </row>
    <row r="423" spans="2:3" x14ac:dyDescent="0.2">
      <c r="B423" s="16"/>
      <c r="C423" s="16"/>
    </row>
    <row r="424" spans="2:3" x14ac:dyDescent="0.2">
      <c r="B424" s="16"/>
      <c r="C424" s="16"/>
    </row>
    <row r="425" spans="2:3" x14ac:dyDescent="0.2">
      <c r="B425" s="16"/>
      <c r="C425" s="16"/>
    </row>
    <row r="426" spans="2:3" x14ac:dyDescent="0.2">
      <c r="B426" s="16"/>
      <c r="C426" s="16"/>
    </row>
    <row r="427" spans="2:3" x14ac:dyDescent="0.2">
      <c r="B427" s="16"/>
      <c r="C427" s="16"/>
    </row>
    <row r="428" spans="2:3" x14ac:dyDescent="0.2">
      <c r="B428" s="16"/>
      <c r="C428" s="16"/>
    </row>
    <row r="429" spans="2:3" x14ac:dyDescent="0.2">
      <c r="B429" s="16"/>
      <c r="C429" s="16"/>
    </row>
    <row r="430" spans="2:3" x14ac:dyDescent="0.2">
      <c r="B430" s="16"/>
      <c r="C430" s="16"/>
    </row>
    <row r="431" spans="2:3" x14ac:dyDescent="0.2">
      <c r="B431" s="16"/>
      <c r="C431" s="16"/>
    </row>
    <row r="432" spans="2:3" x14ac:dyDescent="0.2">
      <c r="B432" s="16"/>
      <c r="C432" s="16"/>
    </row>
    <row r="433" spans="2:3" x14ac:dyDescent="0.2">
      <c r="B433" s="16"/>
      <c r="C433" s="16"/>
    </row>
    <row r="434" spans="2:3" x14ac:dyDescent="0.2">
      <c r="B434" s="16"/>
      <c r="C434" s="16"/>
    </row>
    <row r="435" spans="2:3" x14ac:dyDescent="0.2">
      <c r="B435" s="16"/>
      <c r="C435" s="16"/>
    </row>
    <row r="436" spans="2:3" x14ac:dyDescent="0.2">
      <c r="B436" s="16"/>
      <c r="C436" s="16"/>
    </row>
    <row r="437" spans="2:3" x14ac:dyDescent="0.2">
      <c r="B437" s="16"/>
      <c r="C437" s="16"/>
    </row>
    <row r="438" spans="2:3" x14ac:dyDescent="0.2">
      <c r="B438" s="16"/>
      <c r="C438" s="16"/>
    </row>
    <row r="439" spans="2:3" x14ac:dyDescent="0.2">
      <c r="B439" s="16"/>
      <c r="C439" s="16"/>
    </row>
    <row r="440" spans="2:3" x14ac:dyDescent="0.2">
      <c r="B440" s="16"/>
      <c r="C440" s="16"/>
    </row>
    <row r="441" spans="2:3" x14ac:dyDescent="0.2">
      <c r="B441" s="16"/>
      <c r="C441" s="16"/>
    </row>
    <row r="442" spans="2:3" x14ac:dyDescent="0.2">
      <c r="B442" s="16"/>
      <c r="C442" s="16"/>
    </row>
    <row r="443" spans="2:3" x14ac:dyDescent="0.2">
      <c r="B443" s="16"/>
      <c r="C443" s="16"/>
    </row>
    <row r="444" spans="2:3" x14ac:dyDescent="0.2">
      <c r="B444" s="16"/>
      <c r="C444" s="16"/>
    </row>
    <row r="445" spans="2:3" x14ac:dyDescent="0.2">
      <c r="B445" s="16"/>
      <c r="C445" s="16"/>
    </row>
    <row r="446" spans="2:3" x14ac:dyDescent="0.2">
      <c r="B446" s="16"/>
      <c r="C446" s="16"/>
    </row>
    <row r="447" spans="2:3" x14ac:dyDescent="0.2">
      <c r="B447" s="16"/>
      <c r="C447" s="16"/>
    </row>
    <row r="448" spans="2:3" x14ac:dyDescent="0.2">
      <c r="B448" s="16"/>
      <c r="C448" s="16"/>
    </row>
    <row r="449" spans="2:3" x14ac:dyDescent="0.2">
      <c r="B449" s="16"/>
      <c r="C449" s="16"/>
    </row>
    <row r="450" spans="2:3" x14ac:dyDescent="0.2">
      <c r="B450" s="16"/>
      <c r="C450" s="16"/>
    </row>
    <row r="451" spans="2:3" x14ac:dyDescent="0.2">
      <c r="B451" s="16"/>
      <c r="C451" s="16"/>
    </row>
    <row r="452" spans="2:3" x14ac:dyDescent="0.2">
      <c r="B452" s="16"/>
      <c r="C452" s="16"/>
    </row>
    <row r="453" spans="2:3" x14ac:dyDescent="0.2">
      <c r="B453" s="16"/>
      <c r="C453" s="16"/>
    </row>
    <row r="454" spans="2:3" x14ac:dyDescent="0.2">
      <c r="B454" s="16"/>
      <c r="C454" s="16"/>
    </row>
    <row r="455" spans="2:3" x14ac:dyDescent="0.2">
      <c r="B455" s="16"/>
      <c r="C455" s="16"/>
    </row>
    <row r="456" spans="2:3" x14ac:dyDescent="0.2">
      <c r="B456" s="16"/>
      <c r="C456" s="16"/>
    </row>
    <row r="457" spans="2:3" x14ac:dyDescent="0.2">
      <c r="B457" s="16"/>
      <c r="C457" s="16"/>
    </row>
    <row r="458" spans="2:3" x14ac:dyDescent="0.2">
      <c r="B458" s="16"/>
      <c r="C458" s="16"/>
    </row>
    <row r="459" spans="2:3" x14ac:dyDescent="0.2">
      <c r="B459" s="16"/>
      <c r="C459" s="16"/>
    </row>
    <row r="460" spans="2:3" x14ac:dyDescent="0.2">
      <c r="B460" s="16"/>
      <c r="C460" s="16"/>
    </row>
    <row r="461" spans="2:3" x14ac:dyDescent="0.2">
      <c r="B461" s="16"/>
      <c r="C461" s="16"/>
    </row>
    <row r="462" spans="2:3" x14ac:dyDescent="0.2">
      <c r="B462" s="16"/>
      <c r="C462" s="16"/>
    </row>
    <row r="463" spans="2:3" x14ac:dyDescent="0.2">
      <c r="B463" s="16"/>
      <c r="C463" s="16"/>
    </row>
    <row r="464" spans="2:3" x14ac:dyDescent="0.2">
      <c r="B464" s="16"/>
      <c r="C464" s="16"/>
    </row>
    <row r="465" spans="2:3" x14ac:dyDescent="0.2">
      <c r="B465" s="16"/>
      <c r="C465" s="16"/>
    </row>
    <row r="466" spans="2:3" x14ac:dyDescent="0.2">
      <c r="B466" s="16"/>
      <c r="C466" s="16"/>
    </row>
    <row r="467" spans="2:3" x14ac:dyDescent="0.2">
      <c r="B467" s="16"/>
      <c r="C467" s="16"/>
    </row>
    <row r="468" spans="2:3" x14ac:dyDescent="0.2">
      <c r="B468" s="16"/>
      <c r="C468" s="16"/>
    </row>
    <row r="469" spans="2:3" x14ac:dyDescent="0.2">
      <c r="B469" s="16"/>
      <c r="C469" s="16"/>
    </row>
    <row r="470" spans="2:3" x14ac:dyDescent="0.2">
      <c r="B470" s="16"/>
      <c r="C470" s="16"/>
    </row>
    <row r="471" spans="2:3" x14ac:dyDescent="0.2">
      <c r="B471" s="16"/>
      <c r="C471" s="16"/>
    </row>
    <row r="472" spans="2:3" x14ac:dyDescent="0.2">
      <c r="B472" s="16"/>
      <c r="C472" s="16"/>
    </row>
    <row r="473" spans="2:3" x14ac:dyDescent="0.2">
      <c r="B473" s="16"/>
      <c r="C473" s="16"/>
    </row>
    <row r="474" spans="2:3" x14ac:dyDescent="0.2">
      <c r="B474" s="16"/>
      <c r="C474" s="16"/>
    </row>
    <row r="475" spans="2:3" x14ac:dyDescent="0.2">
      <c r="B475" s="16"/>
      <c r="C475" s="16"/>
    </row>
    <row r="476" spans="2:3" x14ac:dyDescent="0.2">
      <c r="B476" s="16"/>
      <c r="C476" s="16"/>
    </row>
    <row r="477" spans="2:3" x14ac:dyDescent="0.2">
      <c r="B477" s="16"/>
      <c r="C477" s="16"/>
    </row>
    <row r="478" spans="2:3" x14ac:dyDescent="0.2">
      <c r="B478" s="16"/>
      <c r="C478" s="16"/>
    </row>
    <row r="479" spans="2:3" x14ac:dyDescent="0.2">
      <c r="B479" s="16"/>
      <c r="C479" s="16"/>
    </row>
    <row r="480" spans="2:3" x14ac:dyDescent="0.2">
      <c r="B480" s="16"/>
      <c r="C480" s="16"/>
    </row>
    <row r="481" spans="2:3" x14ac:dyDescent="0.2">
      <c r="B481" s="16"/>
      <c r="C481" s="16"/>
    </row>
    <row r="482" spans="2:3" x14ac:dyDescent="0.2">
      <c r="B482" s="16"/>
      <c r="C482" s="16"/>
    </row>
    <row r="483" spans="2:3" x14ac:dyDescent="0.2">
      <c r="B483" s="16"/>
      <c r="C483" s="16"/>
    </row>
    <row r="484" spans="2:3" x14ac:dyDescent="0.2">
      <c r="B484" s="16"/>
      <c r="C484" s="16"/>
    </row>
    <row r="485" spans="2:3" x14ac:dyDescent="0.2">
      <c r="B485" s="16"/>
      <c r="C485" s="16"/>
    </row>
    <row r="486" spans="2:3" x14ac:dyDescent="0.2">
      <c r="B486" s="16"/>
      <c r="C486" s="16"/>
    </row>
    <row r="487" spans="2:3" x14ac:dyDescent="0.2">
      <c r="B487" s="16"/>
      <c r="C487" s="16"/>
    </row>
    <row r="488" spans="2:3" x14ac:dyDescent="0.2">
      <c r="B488" s="16"/>
      <c r="C488" s="16"/>
    </row>
    <row r="489" spans="2:3" x14ac:dyDescent="0.2">
      <c r="B489" s="16"/>
      <c r="C489" s="16"/>
    </row>
    <row r="490" spans="2:3" x14ac:dyDescent="0.2">
      <c r="B490" s="16"/>
      <c r="C490" s="16"/>
    </row>
    <row r="491" spans="2:3" x14ac:dyDescent="0.2">
      <c r="B491" s="16"/>
      <c r="C491" s="16"/>
    </row>
    <row r="492" spans="2:3" x14ac:dyDescent="0.2">
      <c r="B492" s="16"/>
      <c r="C492" s="16"/>
    </row>
    <row r="493" spans="2:3" x14ac:dyDescent="0.2">
      <c r="B493" s="16"/>
      <c r="C493" s="16"/>
    </row>
    <row r="494" spans="2:3" x14ac:dyDescent="0.2">
      <c r="B494" s="16"/>
      <c r="C494" s="16"/>
    </row>
    <row r="495" spans="2:3" x14ac:dyDescent="0.2">
      <c r="B495" s="16"/>
      <c r="C495" s="16"/>
    </row>
    <row r="496" spans="2:3" x14ac:dyDescent="0.2">
      <c r="B496" s="16"/>
      <c r="C496" s="16"/>
    </row>
    <row r="497" spans="2:3" x14ac:dyDescent="0.2">
      <c r="B497" s="16"/>
      <c r="C497" s="16"/>
    </row>
    <row r="498" spans="2:3" x14ac:dyDescent="0.2">
      <c r="B498" s="16"/>
      <c r="C498" s="16"/>
    </row>
    <row r="499" spans="2:3" x14ac:dyDescent="0.2">
      <c r="B499" s="16"/>
      <c r="C499" s="16"/>
    </row>
    <row r="500" spans="2:3" x14ac:dyDescent="0.2">
      <c r="B500" s="16"/>
      <c r="C500" s="16"/>
    </row>
    <row r="501" spans="2:3" x14ac:dyDescent="0.2">
      <c r="B501" s="16"/>
      <c r="C501" s="16"/>
    </row>
    <row r="502" spans="2:3" x14ac:dyDescent="0.2">
      <c r="B502" s="16"/>
      <c r="C502" s="16"/>
    </row>
    <row r="503" spans="2:3" x14ac:dyDescent="0.2">
      <c r="B503" s="16"/>
      <c r="C503" s="16"/>
    </row>
    <row r="504" spans="2:3" x14ac:dyDescent="0.2">
      <c r="B504" s="16"/>
      <c r="C504" s="16"/>
    </row>
    <row r="505" spans="2:3" x14ac:dyDescent="0.2">
      <c r="B505" s="16"/>
      <c r="C505" s="16"/>
    </row>
    <row r="506" spans="2:3" x14ac:dyDescent="0.2">
      <c r="B506" s="16"/>
      <c r="C506" s="16"/>
    </row>
    <row r="507" spans="2:3" x14ac:dyDescent="0.2">
      <c r="B507" s="16"/>
      <c r="C507" s="16"/>
    </row>
    <row r="508" spans="2:3" x14ac:dyDescent="0.2">
      <c r="B508" s="16"/>
      <c r="C508" s="16"/>
    </row>
    <row r="509" spans="2:3" x14ac:dyDescent="0.2">
      <c r="B509" s="16"/>
      <c r="C509" s="16"/>
    </row>
    <row r="510" spans="2:3" x14ac:dyDescent="0.2">
      <c r="B510" s="16"/>
      <c r="C510" s="16"/>
    </row>
    <row r="511" spans="2:3" x14ac:dyDescent="0.2">
      <c r="B511" s="16"/>
      <c r="C511" s="16"/>
    </row>
    <row r="512" spans="2:3" x14ac:dyDescent="0.2">
      <c r="B512" s="16"/>
      <c r="C512" s="16"/>
    </row>
    <row r="513" spans="2:3" x14ac:dyDescent="0.2">
      <c r="B513" s="16"/>
      <c r="C513" s="16"/>
    </row>
    <row r="514" spans="2:3" x14ac:dyDescent="0.2">
      <c r="B514" s="16"/>
      <c r="C514" s="16"/>
    </row>
    <row r="515" spans="2:3" x14ac:dyDescent="0.2">
      <c r="B515" s="16"/>
      <c r="C515" s="16"/>
    </row>
    <row r="516" spans="2:3" x14ac:dyDescent="0.2">
      <c r="B516" s="16"/>
      <c r="C516" s="16"/>
    </row>
    <row r="517" spans="2:3" x14ac:dyDescent="0.2">
      <c r="B517" s="16"/>
      <c r="C517" s="16"/>
    </row>
    <row r="518" spans="2:3" x14ac:dyDescent="0.2">
      <c r="B518" s="16"/>
      <c r="C518" s="16"/>
    </row>
    <row r="519" spans="2:3" x14ac:dyDescent="0.2">
      <c r="B519" s="16"/>
      <c r="C519" s="16"/>
    </row>
    <row r="520" spans="2:3" x14ac:dyDescent="0.2">
      <c r="B520" s="16"/>
      <c r="C520" s="16"/>
    </row>
    <row r="521" spans="2:3" x14ac:dyDescent="0.2">
      <c r="B521" s="16"/>
      <c r="C521" s="16"/>
    </row>
    <row r="522" spans="2:3" x14ac:dyDescent="0.2">
      <c r="B522" s="16"/>
      <c r="C522" s="16"/>
    </row>
    <row r="523" spans="2:3" x14ac:dyDescent="0.2">
      <c r="B523" s="16"/>
      <c r="C523" s="16"/>
    </row>
    <row r="524" spans="2:3" x14ac:dyDescent="0.2">
      <c r="B524" s="16"/>
      <c r="C524" s="16"/>
    </row>
    <row r="525" spans="2:3" x14ac:dyDescent="0.2">
      <c r="B525" s="16"/>
      <c r="C525" s="16"/>
    </row>
    <row r="526" spans="2:3" x14ac:dyDescent="0.2">
      <c r="B526" s="16"/>
      <c r="C526" s="16"/>
    </row>
    <row r="527" spans="2:3" x14ac:dyDescent="0.2">
      <c r="B527" s="16"/>
      <c r="C527" s="16"/>
    </row>
    <row r="528" spans="2:3" x14ac:dyDescent="0.2">
      <c r="B528" s="16"/>
      <c r="C528" s="16"/>
    </row>
    <row r="529" spans="2:3" x14ac:dyDescent="0.2">
      <c r="B529" s="16"/>
      <c r="C529" s="16"/>
    </row>
    <row r="530" spans="2:3" x14ac:dyDescent="0.2">
      <c r="B530" s="16"/>
      <c r="C530" s="16"/>
    </row>
    <row r="531" spans="2:3" x14ac:dyDescent="0.2">
      <c r="B531" s="16"/>
      <c r="C531" s="16"/>
    </row>
    <row r="532" spans="2:3" x14ac:dyDescent="0.2">
      <c r="B532" s="16"/>
      <c r="C532" s="16"/>
    </row>
    <row r="533" spans="2:3" x14ac:dyDescent="0.2">
      <c r="B533" s="16"/>
      <c r="C533" s="16"/>
    </row>
    <row r="534" spans="2:3" x14ac:dyDescent="0.2">
      <c r="B534" s="16"/>
      <c r="C534" s="16"/>
    </row>
    <row r="535" spans="2:3" x14ac:dyDescent="0.2">
      <c r="B535" s="16"/>
      <c r="C535" s="16"/>
    </row>
    <row r="536" spans="2:3" x14ac:dyDescent="0.2">
      <c r="B536" s="16"/>
      <c r="C536" s="16"/>
    </row>
    <row r="537" spans="2:3" x14ac:dyDescent="0.2">
      <c r="B537" s="16"/>
      <c r="C537" s="16"/>
    </row>
    <row r="538" spans="2:3" x14ac:dyDescent="0.2">
      <c r="B538" s="16"/>
      <c r="C538" s="16"/>
    </row>
    <row r="539" spans="2:3" x14ac:dyDescent="0.2">
      <c r="B539" s="16"/>
      <c r="C539" s="16"/>
    </row>
    <row r="540" spans="2:3" x14ac:dyDescent="0.2">
      <c r="B540" s="16"/>
      <c r="C540" s="16"/>
    </row>
    <row r="541" spans="2:3" x14ac:dyDescent="0.2">
      <c r="B541" s="16"/>
      <c r="C541" s="16"/>
    </row>
    <row r="542" spans="2:3" x14ac:dyDescent="0.2">
      <c r="B542" s="16"/>
      <c r="C542" s="16"/>
    </row>
    <row r="543" spans="2:3" x14ac:dyDescent="0.2">
      <c r="B543" s="16"/>
      <c r="C543" s="16"/>
    </row>
    <row r="544" spans="2:3" x14ac:dyDescent="0.2">
      <c r="B544" s="16"/>
      <c r="C544" s="16"/>
    </row>
    <row r="545" spans="2:3" x14ac:dyDescent="0.2">
      <c r="B545" s="16"/>
      <c r="C545" s="16"/>
    </row>
    <row r="546" spans="2:3" x14ac:dyDescent="0.2">
      <c r="B546" s="16"/>
      <c r="C546" s="16"/>
    </row>
    <row r="547" spans="2:3" x14ac:dyDescent="0.2">
      <c r="B547" s="16"/>
      <c r="C547" s="16"/>
    </row>
    <row r="548" spans="2:3" x14ac:dyDescent="0.2">
      <c r="B548" s="16"/>
      <c r="C548" s="16"/>
    </row>
    <row r="549" spans="2:3" x14ac:dyDescent="0.2">
      <c r="B549" s="16"/>
      <c r="C549" s="16"/>
    </row>
    <row r="550" spans="2:3" x14ac:dyDescent="0.2">
      <c r="B550" s="16"/>
      <c r="C550" s="16"/>
    </row>
    <row r="551" spans="2:3" x14ac:dyDescent="0.2">
      <c r="B551" s="16"/>
      <c r="C551" s="16"/>
    </row>
    <row r="552" spans="2:3" x14ac:dyDescent="0.2">
      <c r="B552" s="16"/>
      <c r="C552" s="16"/>
    </row>
    <row r="553" spans="2:3" x14ac:dyDescent="0.2">
      <c r="B553" s="16"/>
      <c r="C553" s="16"/>
    </row>
    <row r="554" spans="2:3" x14ac:dyDescent="0.2">
      <c r="B554" s="16"/>
      <c r="C554" s="16"/>
    </row>
    <row r="555" spans="2:3" x14ac:dyDescent="0.2">
      <c r="B555" s="16"/>
      <c r="C555" s="16"/>
    </row>
    <row r="556" spans="2:3" x14ac:dyDescent="0.2">
      <c r="B556" s="16"/>
      <c r="C556" s="16"/>
    </row>
    <row r="557" spans="2:3" x14ac:dyDescent="0.2">
      <c r="B557" s="16"/>
      <c r="C557" s="16"/>
    </row>
    <row r="558" spans="2:3" x14ac:dyDescent="0.2">
      <c r="B558" s="16"/>
      <c r="C558" s="16"/>
    </row>
    <row r="559" spans="2:3" x14ac:dyDescent="0.2">
      <c r="B559" s="16"/>
      <c r="C559" s="16"/>
    </row>
    <row r="560" spans="2:3" x14ac:dyDescent="0.2">
      <c r="B560" s="16"/>
      <c r="C560" s="16"/>
    </row>
    <row r="561" spans="2:3" x14ac:dyDescent="0.2">
      <c r="B561" s="16"/>
      <c r="C561" s="16"/>
    </row>
    <row r="562" spans="2:3" x14ac:dyDescent="0.2">
      <c r="B562" s="16"/>
      <c r="C562" s="16"/>
    </row>
    <row r="563" spans="2:3" x14ac:dyDescent="0.2">
      <c r="B563" s="16"/>
      <c r="C563" s="16"/>
    </row>
    <row r="564" spans="2:3" x14ac:dyDescent="0.2">
      <c r="B564" s="16"/>
      <c r="C564" s="16"/>
    </row>
    <row r="565" spans="2:3" x14ac:dyDescent="0.2">
      <c r="B565" s="16"/>
      <c r="C565" s="16"/>
    </row>
    <row r="566" spans="2:3" x14ac:dyDescent="0.2">
      <c r="B566" s="16"/>
      <c r="C566" s="16"/>
    </row>
    <row r="567" spans="2:3" x14ac:dyDescent="0.2">
      <c r="B567" s="16"/>
      <c r="C567" s="16"/>
    </row>
    <row r="568" spans="2:3" x14ac:dyDescent="0.2">
      <c r="B568" s="16"/>
      <c r="C568" s="16"/>
    </row>
    <row r="569" spans="2:3" x14ac:dyDescent="0.2">
      <c r="B569" s="16"/>
      <c r="C569" s="16"/>
    </row>
    <row r="570" spans="2:3" x14ac:dyDescent="0.2">
      <c r="B570" s="16"/>
      <c r="C570" s="16"/>
    </row>
    <row r="571" spans="2:3" x14ac:dyDescent="0.2">
      <c r="B571" s="16"/>
      <c r="C571" s="16"/>
    </row>
    <row r="572" spans="2:3" x14ac:dyDescent="0.2">
      <c r="B572" s="16"/>
      <c r="C572" s="16"/>
    </row>
    <row r="573" spans="2:3" x14ac:dyDescent="0.2">
      <c r="B573" s="16"/>
      <c r="C573" s="16"/>
    </row>
    <row r="574" spans="2:3" x14ac:dyDescent="0.2">
      <c r="B574" s="16"/>
      <c r="C574" s="16"/>
    </row>
    <row r="575" spans="2:3" x14ac:dyDescent="0.2">
      <c r="B575" s="16"/>
      <c r="C575" s="16"/>
    </row>
    <row r="576" spans="2:3" x14ac:dyDescent="0.2">
      <c r="B576" s="16"/>
      <c r="C576" s="16"/>
    </row>
    <row r="577" spans="2:3" x14ac:dyDescent="0.2">
      <c r="B577" s="16"/>
      <c r="C577" s="16"/>
    </row>
    <row r="578" spans="2:3" x14ac:dyDescent="0.2">
      <c r="B578" s="16"/>
      <c r="C578" s="16"/>
    </row>
    <row r="579" spans="2:3" x14ac:dyDescent="0.2">
      <c r="B579" s="16"/>
      <c r="C579" s="16"/>
    </row>
    <row r="580" spans="2:3" x14ac:dyDescent="0.2">
      <c r="B580" s="16"/>
      <c r="C580" s="16"/>
    </row>
    <row r="581" spans="2:3" x14ac:dyDescent="0.2">
      <c r="B581" s="16"/>
      <c r="C581" s="16"/>
    </row>
    <row r="582" spans="2:3" x14ac:dyDescent="0.2">
      <c r="B582" s="16"/>
      <c r="C582" s="16"/>
    </row>
    <row r="583" spans="2:3" x14ac:dyDescent="0.2">
      <c r="B583" s="16"/>
      <c r="C583" s="16"/>
    </row>
    <row r="584" spans="2:3" x14ac:dyDescent="0.2">
      <c r="B584" s="16"/>
      <c r="C584" s="16"/>
    </row>
    <row r="585" spans="2:3" x14ac:dyDescent="0.2">
      <c r="B585" s="16"/>
      <c r="C585" s="16"/>
    </row>
    <row r="586" spans="2:3" x14ac:dyDescent="0.2">
      <c r="B586" s="16"/>
      <c r="C586" s="16"/>
    </row>
    <row r="587" spans="2:3" x14ac:dyDescent="0.2">
      <c r="B587" s="16"/>
      <c r="C587" s="16"/>
    </row>
    <row r="588" spans="2:3" x14ac:dyDescent="0.2">
      <c r="B588" s="16"/>
      <c r="C588" s="16"/>
    </row>
    <row r="589" spans="2:3" x14ac:dyDescent="0.2">
      <c r="B589" s="16"/>
      <c r="C589" s="16"/>
    </row>
    <row r="590" spans="2:3" x14ac:dyDescent="0.2">
      <c r="B590" s="16"/>
      <c r="C590" s="16"/>
    </row>
    <row r="591" spans="2:3" x14ac:dyDescent="0.2">
      <c r="B591" s="16"/>
      <c r="C591" s="16"/>
    </row>
    <row r="592" spans="2:3" x14ac:dyDescent="0.2">
      <c r="B592" s="16"/>
      <c r="C592" s="16"/>
    </row>
    <row r="593" spans="2:3" x14ac:dyDescent="0.2">
      <c r="B593" s="16"/>
      <c r="C593" s="16"/>
    </row>
    <row r="594" spans="2:3" x14ac:dyDescent="0.2">
      <c r="B594" s="16"/>
      <c r="C594" s="16"/>
    </row>
    <row r="595" spans="2:3" x14ac:dyDescent="0.2">
      <c r="B595" s="16"/>
      <c r="C595" s="16"/>
    </row>
    <row r="596" spans="2:3" x14ac:dyDescent="0.2">
      <c r="B596" s="16"/>
      <c r="C596" s="16"/>
    </row>
    <row r="597" spans="2:3" x14ac:dyDescent="0.2">
      <c r="B597" s="16"/>
      <c r="C597" s="16"/>
    </row>
    <row r="598" spans="2:3" x14ac:dyDescent="0.2">
      <c r="B598" s="16"/>
      <c r="C598" s="16"/>
    </row>
    <row r="599" spans="2:3" x14ac:dyDescent="0.2">
      <c r="B599" s="16"/>
      <c r="C599" s="16"/>
    </row>
    <row r="600" spans="2:3" x14ac:dyDescent="0.2">
      <c r="B600" s="16"/>
      <c r="C600" s="16"/>
    </row>
    <row r="601" spans="2:3" x14ac:dyDescent="0.2">
      <c r="B601" s="16"/>
      <c r="C601" s="16"/>
    </row>
    <row r="602" spans="2:3" x14ac:dyDescent="0.2">
      <c r="B602" s="16"/>
      <c r="C602" s="16"/>
    </row>
    <row r="603" spans="2:3" x14ac:dyDescent="0.2">
      <c r="B603" s="16"/>
      <c r="C603" s="16"/>
    </row>
    <row r="604" spans="2:3" x14ac:dyDescent="0.2">
      <c r="B604" s="16"/>
      <c r="C604" s="16"/>
    </row>
    <row r="605" spans="2:3" x14ac:dyDescent="0.2">
      <c r="B605" s="16"/>
      <c r="C605" s="16"/>
    </row>
    <row r="606" spans="2:3" x14ac:dyDescent="0.2">
      <c r="B606" s="16"/>
      <c r="C606" s="16"/>
    </row>
    <row r="607" spans="2:3" x14ac:dyDescent="0.2">
      <c r="B607" s="16"/>
      <c r="C607" s="16"/>
    </row>
    <row r="608" spans="2:3" x14ac:dyDescent="0.2">
      <c r="B608" s="16"/>
      <c r="C608" s="16"/>
    </row>
    <row r="609" spans="2:3" x14ac:dyDescent="0.2">
      <c r="B609" s="16"/>
      <c r="C609" s="16"/>
    </row>
    <row r="610" spans="2:3" x14ac:dyDescent="0.2">
      <c r="B610" s="16"/>
      <c r="C610" s="16"/>
    </row>
    <row r="611" spans="2:3" x14ac:dyDescent="0.2">
      <c r="B611" s="16"/>
      <c r="C611" s="16"/>
    </row>
    <row r="612" spans="2:3" x14ac:dyDescent="0.2">
      <c r="B612" s="16"/>
      <c r="C612" s="16"/>
    </row>
    <row r="613" spans="2:3" x14ac:dyDescent="0.2">
      <c r="B613" s="16"/>
      <c r="C613" s="16"/>
    </row>
    <row r="614" spans="2:3" x14ac:dyDescent="0.2">
      <c r="B614" s="16"/>
      <c r="C614" s="16"/>
    </row>
    <row r="615" spans="2:3" x14ac:dyDescent="0.2">
      <c r="B615" s="16"/>
      <c r="C615" s="16"/>
    </row>
    <row r="616" spans="2:3" x14ac:dyDescent="0.2">
      <c r="B616" s="16"/>
      <c r="C616" s="16"/>
    </row>
    <row r="617" spans="2:3" x14ac:dyDescent="0.2">
      <c r="B617" s="16"/>
      <c r="C617" s="16"/>
    </row>
    <row r="618" spans="2:3" x14ac:dyDescent="0.2">
      <c r="B618" s="16"/>
      <c r="C618" s="16"/>
    </row>
    <row r="619" spans="2:3" x14ac:dyDescent="0.2">
      <c r="B619" s="16"/>
      <c r="C619" s="16"/>
    </row>
    <row r="620" spans="2:3" x14ac:dyDescent="0.2">
      <c r="B620" s="16"/>
      <c r="C620" s="16"/>
    </row>
    <row r="621" spans="2:3" x14ac:dyDescent="0.2">
      <c r="B621" s="16"/>
      <c r="C621" s="16"/>
    </row>
    <row r="622" spans="2:3" x14ac:dyDescent="0.2">
      <c r="B622" s="16"/>
      <c r="C622" s="16"/>
    </row>
    <row r="623" spans="2:3" x14ac:dyDescent="0.2">
      <c r="B623" s="16"/>
      <c r="C623" s="16"/>
    </row>
    <row r="624" spans="2:3" x14ac:dyDescent="0.2">
      <c r="B624" s="16"/>
      <c r="C624" s="16"/>
    </row>
    <row r="625" spans="2:3" x14ac:dyDescent="0.2">
      <c r="B625" s="16"/>
      <c r="C625" s="16"/>
    </row>
    <row r="626" spans="2:3" x14ac:dyDescent="0.2">
      <c r="B626" s="16"/>
      <c r="C626" s="16"/>
    </row>
    <row r="627" spans="2:3" x14ac:dyDescent="0.2">
      <c r="B627" s="16"/>
      <c r="C627" s="16"/>
    </row>
    <row r="628" spans="2:3" x14ac:dyDescent="0.2">
      <c r="B628" s="16"/>
      <c r="C628" s="16"/>
    </row>
    <row r="629" spans="2:3" x14ac:dyDescent="0.2">
      <c r="B629" s="16"/>
      <c r="C629" s="16"/>
    </row>
    <row r="630" spans="2:3" x14ac:dyDescent="0.2">
      <c r="B630" s="16"/>
      <c r="C630" s="16"/>
    </row>
    <row r="631" spans="2:3" x14ac:dyDescent="0.2">
      <c r="B631" s="16"/>
      <c r="C631" s="16"/>
    </row>
    <row r="632" spans="2:3" x14ac:dyDescent="0.2">
      <c r="B632" s="16"/>
      <c r="C632" s="16"/>
    </row>
    <row r="633" spans="2:3" x14ac:dyDescent="0.2">
      <c r="B633" s="16"/>
      <c r="C633" s="16"/>
    </row>
    <row r="634" spans="2:3" x14ac:dyDescent="0.2">
      <c r="B634" s="16"/>
      <c r="C634" s="16"/>
    </row>
    <row r="635" spans="2:3" x14ac:dyDescent="0.2">
      <c r="B635" s="16"/>
      <c r="C635" s="16"/>
    </row>
    <row r="636" spans="2:3" x14ac:dyDescent="0.2">
      <c r="B636" s="16"/>
      <c r="C636" s="16"/>
    </row>
    <row r="637" spans="2:3" x14ac:dyDescent="0.2">
      <c r="B637" s="16"/>
      <c r="C637" s="16"/>
    </row>
    <row r="638" spans="2:3" x14ac:dyDescent="0.2">
      <c r="B638" s="16"/>
      <c r="C638" s="16"/>
    </row>
    <row r="639" spans="2:3" x14ac:dyDescent="0.2">
      <c r="B639" s="16"/>
      <c r="C639" s="16"/>
    </row>
    <row r="640" spans="2:3" x14ac:dyDescent="0.2">
      <c r="B640" s="16"/>
      <c r="C640" s="16"/>
    </row>
    <row r="641" spans="2:3" x14ac:dyDescent="0.2">
      <c r="B641" s="16"/>
      <c r="C641" s="16"/>
    </row>
    <row r="642" spans="2:3" x14ac:dyDescent="0.2">
      <c r="B642" s="16"/>
      <c r="C642" s="16"/>
    </row>
    <row r="643" spans="2:3" x14ac:dyDescent="0.2">
      <c r="B643" s="16"/>
      <c r="C643" s="16"/>
    </row>
    <row r="644" spans="2:3" x14ac:dyDescent="0.2">
      <c r="B644" s="16"/>
      <c r="C644" s="16"/>
    </row>
    <row r="645" spans="2:3" x14ac:dyDescent="0.2">
      <c r="B645" s="16"/>
      <c r="C645" s="16"/>
    </row>
    <row r="646" spans="2:3" x14ac:dyDescent="0.2">
      <c r="B646" s="16"/>
      <c r="C646" s="16"/>
    </row>
    <row r="647" spans="2:3" x14ac:dyDescent="0.2">
      <c r="B647" s="16"/>
      <c r="C647" s="16"/>
    </row>
    <row r="648" spans="2:3" x14ac:dyDescent="0.2">
      <c r="B648" s="16"/>
      <c r="C648" s="16"/>
    </row>
    <row r="649" spans="2:3" x14ac:dyDescent="0.2">
      <c r="B649" s="16"/>
      <c r="C649" s="16"/>
    </row>
    <row r="650" spans="2:3" x14ac:dyDescent="0.2">
      <c r="B650" s="16"/>
      <c r="C650" s="16"/>
    </row>
    <row r="651" spans="2:3" x14ac:dyDescent="0.2">
      <c r="B651" s="16"/>
      <c r="C651" s="16"/>
    </row>
    <row r="652" spans="2:3" x14ac:dyDescent="0.2">
      <c r="B652" s="16"/>
      <c r="C652" s="16"/>
    </row>
    <row r="653" spans="2:3" x14ac:dyDescent="0.2">
      <c r="B653" s="16"/>
      <c r="C653" s="16"/>
    </row>
    <row r="654" spans="2:3" x14ac:dyDescent="0.2">
      <c r="B654" s="16"/>
      <c r="C654" s="16"/>
    </row>
    <row r="655" spans="2:3" x14ac:dyDescent="0.2">
      <c r="B655" s="16"/>
      <c r="C655" s="16"/>
    </row>
    <row r="656" spans="2:3" x14ac:dyDescent="0.2">
      <c r="B656" s="16"/>
      <c r="C656" s="16"/>
    </row>
    <row r="657" spans="2:3" x14ac:dyDescent="0.2">
      <c r="B657" s="16"/>
      <c r="C657" s="16"/>
    </row>
    <row r="658" spans="2:3" x14ac:dyDescent="0.2">
      <c r="B658" s="16"/>
      <c r="C658" s="16"/>
    </row>
    <row r="659" spans="2:3" x14ac:dyDescent="0.2">
      <c r="B659" s="16"/>
      <c r="C659" s="16"/>
    </row>
    <row r="660" spans="2:3" x14ac:dyDescent="0.2">
      <c r="B660" s="16"/>
      <c r="C660" s="16"/>
    </row>
    <row r="661" spans="2:3" x14ac:dyDescent="0.2">
      <c r="B661" s="16"/>
      <c r="C661" s="16"/>
    </row>
    <row r="662" spans="2:3" x14ac:dyDescent="0.2">
      <c r="B662" s="16"/>
      <c r="C662" s="16"/>
    </row>
    <row r="663" spans="2:3" x14ac:dyDescent="0.2">
      <c r="B663" s="16"/>
      <c r="C663" s="16"/>
    </row>
    <row r="664" spans="2:3" x14ac:dyDescent="0.2">
      <c r="B664" s="16"/>
      <c r="C664" s="16"/>
    </row>
    <row r="665" spans="2:3" x14ac:dyDescent="0.2">
      <c r="B665" s="16"/>
      <c r="C665" s="16"/>
    </row>
    <row r="666" spans="2:3" x14ac:dyDescent="0.2">
      <c r="B666" s="16"/>
      <c r="C666" s="16"/>
    </row>
    <row r="667" spans="2:3" x14ac:dyDescent="0.2">
      <c r="B667" s="16"/>
      <c r="C667" s="16"/>
    </row>
    <row r="668" spans="2:3" x14ac:dyDescent="0.2">
      <c r="B668" s="16"/>
      <c r="C668" s="16"/>
    </row>
    <row r="669" spans="2:3" x14ac:dyDescent="0.2">
      <c r="B669" s="16"/>
      <c r="C669" s="16"/>
    </row>
    <row r="670" spans="2:3" x14ac:dyDescent="0.2">
      <c r="B670" s="16"/>
      <c r="C670" s="16"/>
    </row>
    <row r="671" spans="2:3" x14ac:dyDescent="0.2">
      <c r="B671" s="16"/>
      <c r="C671" s="16"/>
    </row>
    <row r="672" spans="2:3" x14ac:dyDescent="0.2">
      <c r="B672" s="16"/>
      <c r="C672" s="16"/>
    </row>
    <row r="673" spans="2:3" x14ac:dyDescent="0.2">
      <c r="B673" s="16"/>
      <c r="C673" s="16"/>
    </row>
    <row r="674" spans="2:3" x14ac:dyDescent="0.2">
      <c r="B674" s="16"/>
      <c r="C674" s="16"/>
    </row>
    <row r="675" spans="2:3" x14ac:dyDescent="0.2">
      <c r="B675" s="16"/>
      <c r="C675" s="16"/>
    </row>
    <row r="676" spans="2:3" x14ac:dyDescent="0.2">
      <c r="B676" s="16"/>
      <c r="C676" s="16"/>
    </row>
    <row r="677" spans="2:3" x14ac:dyDescent="0.2">
      <c r="B677" s="16"/>
      <c r="C677" s="16"/>
    </row>
    <row r="678" spans="2:3" x14ac:dyDescent="0.2">
      <c r="B678" s="16"/>
      <c r="C678" s="16"/>
    </row>
    <row r="679" spans="2:3" x14ac:dyDescent="0.2">
      <c r="B679" s="16"/>
      <c r="C679" s="16"/>
    </row>
    <row r="680" spans="2:3" x14ac:dyDescent="0.2">
      <c r="B680" s="16"/>
      <c r="C680" s="16"/>
    </row>
    <row r="681" spans="2:3" x14ac:dyDescent="0.2">
      <c r="B681" s="16"/>
      <c r="C681" s="16"/>
    </row>
    <row r="682" spans="2:3" x14ac:dyDescent="0.2">
      <c r="B682" s="16"/>
      <c r="C682" s="16"/>
    </row>
    <row r="683" spans="2:3" x14ac:dyDescent="0.2">
      <c r="B683" s="16"/>
      <c r="C683" s="16"/>
    </row>
    <row r="684" spans="2:3" x14ac:dyDescent="0.2">
      <c r="B684" s="16"/>
      <c r="C684" s="16"/>
    </row>
    <row r="685" spans="2:3" x14ac:dyDescent="0.2">
      <c r="B685" s="16"/>
      <c r="C685" s="16"/>
    </row>
    <row r="686" spans="2:3" x14ac:dyDescent="0.2">
      <c r="B686" s="16"/>
      <c r="C686" s="16"/>
    </row>
    <row r="687" spans="2:3" x14ac:dyDescent="0.2">
      <c r="B687" s="16"/>
      <c r="C687" s="16"/>
    </row>
    <row r="688" spans="2:3" x14ac:dyDescent="0.2">
      <c r="B688" s="16"/>
      <c r="C688" s="16"/>
    </row>
    <row r="689" spans="2:3" x14ac:dyDescent="0.2">
      <c r="B689" s="16"/>
      <c r="C689" s="16"/>
    </row>
    <row r="690" spans="2:3" x14ac:dyDescent="0.2">
      <c r="B690" s="16"/>
      <c r="C690" s="16"/>
    </row>
    <row r="691" spans="2:3" x14ac:dyDescent="0.2">
      <c r="B691" s="16"/>
      <c r="C691" s="16"/>
    </row>
    <row r="692" spans="2:3" x14ac:dyDescent="0.2">
      <c r="B692" s="16"/>
      <c r="C692" s="16"/>
    </row>
    <row r="693" spans="2:3" x14ac:dyDescent="0.2">
      <c r="B693" s="16"/>
      <c r="C693" s="16"/>
    </row>
    <row r="694" spans="2:3" x14ac:dyDescent="0.2">
      <c r="B694" s="16"/>
      <c r="C694" s="16"/>
    </row>
    <row r="695" spans="2:3" x14ac:dyDescent="0.2">
      <c r="B695" s="16"/>
      <c r="C695" s="16"/>
    </row>
    <row r="696" spans="2:3" x14ac:dyDescent="0.2">
      <c r="B696" s="16"/>
      <c r="C696" s="16"/>
    </row>
    <row r="697" spans="2:3" x14ac:dyDescent="0.2">
      <c r="B697" s="16"/>
      <c r="C697" s="16"/>
    </row>
    <row r="698" spans="2:3" x14ac:dyDescent="0.2">
      <c r="B698" s="16"/>
      <c r="C698" s="16"/>
    </row>
    <row r="699" spans="2:3" x14ac:dyDescent="0.2">
      <c r="B699" s="16"/>
      <c r="C699" s="16"/>
    </row>
    <row r="700" spans="2:3" x14ac:dyDescent="0.2">
      <c r="B700" s="16"/>
      <c r="C700" s="16"/>
    </row>
    <row r="701" spans="2:3" x14ac:dyDescent="0.2">
      <c r="B701" s="16"/>
      <c r="C701" s="16"/>
    </row>
    <row r="702" spans="2:3" x14ac:dyDescent="0.2">
      <c r="B702" s="16"/>
      <c r="C702" s="16"/>
    </row>
    <row r="703" spans="2:3" x14ac:dyDescent="0.2">
      <c r="B703" s="16"/>
      <c r="C703" s="16"/>
    </row>
    <row r="704" spans="2:3" x14ac:dyDescent="0.2">
      <c r="B704" s="16"/>
      <c r="C704" s="16"/>
    </row>
    <row r="705" spans="2:3" x14ac:dyDescent="0.2">
      <c r="B705" s="16"/>
      <c r="C705" s="16"/>
    </row>
    <row r="706" spans="2:3" x14ac:dyDescent="0.2">
      <c r="B706" s="16"/>
      <c r="C706" s="16"/>
    </row>
    <row r="707" spans="2:3" x14ac:dyDescent="0.2">
      <c r="B707" s="16"/>
      <c r="C707" s="16"/>
    </row>
    <row r="708" spans="2:3" x14ac:dyDescent="0.2">
      <c r="B708" s="16"/>
      <c r="C708" s="16"/>
    </row>
    <row r="709" spans="2:3" x14ac:dyDescent="0.2">
      <c r="B709" s="16"/>
      <c r="C709" s="16"/>
    </row>
    <row r="710" spans="2:3" x14ac:dyDescent="0.2">
      <c r="B710" s="16"/>
      <c r="C710" s="16"/>
    </row>
    <row r="711" spans="2:3" x14ac:dyDescent="0.2">
      <c r="B711" s="16"/>
      <c r="C711" s="16"/>
    </row>
    <row r="712" spans="2:3" x14ac:dyDescent="0.2">
      <c r="B712" s="16"/>
      <c r="C712" s="16"/>
    </row>
    <row r="713" spans="2:3" x14ac:dyDescent="0.2">
      <c r="B713" s="16"/>
      <c r="C713" s="16"/>
    </row>
    <row r="714" spans="2:3" x14ac:dyDescent="0.2">
      <c r="B714" s="16"/>
      <c r="C714" s="16"/>
    </row>
    <row r="715" spans="2:3" x14ac:dyDescent="0.2">
      <c r="B715" s="16"/>
      <c r="C715" s="16"/>
    </row>
    <row r="716" spans="2:3" x14ac:dyDescent="0.2">
      <c r="B716" s="16"/>
      <c r="C716" s="16"/>
    </row>
    <row r="717" spans="2:3" x14ac:dyDescent="0.2">
      <c r="B717" s="16"/>
      <c r="C717" s="16"/>
    </row>
    <row r="718" spans="2:3" x14ac:dyDescent="0.2">
      <c r="B718" s="16"/>
      <c r="C718" s="16"/>
    </row>
    <row r="719" spans="2:3" x14ac:dyDescent="0.2">
      <c r="B719" s="16"/>
      <c r="C719" s="16"/>
    </row>
    <row r="720" spans="2:3" x14ac:dyDescent="0.2">
      <c r="B720" s="16"/>
      <c r="C720" s="16"/>
    </row>
    <row r="721" spans="2:3" x14ac:dyDescent="0.2">
      <c r="B721" s="16"/>
      <c r="C721" s="16"/>
    </row>
    <row r="722" spans="2:3" x14ac:dyDescent="0.2">
      <c r="B722" s="16"/>
      <c r="C722" s="16"/>
    </row>
    <row r="723" spans="2:3" x14ac:dyDescent="0.2">
      <c r="B723" s="16"/>
      <c r="C723" s="16"/>
    </row>
    <row r="724" spans="2:3" x14ac:dyDescent="0.2">
      <c r="B724" s="16"/>
      <c r="C724" s="16"/>
    </row>
    <row r="725" spans="2:3" x14ac:dyDescent="0.2">
      <c r="B725" s="16"/>
      <c r="C725" s="16"/>
    </row>
    <row r="726" spans="2:3" x14ac:dyDescent="0.2">
      <c r="B726" s="16"/>
      <c r="C726" s="16"/>
    </row>
    <row r="727" spans="2:3" x14ac:dyDescent="0.2">
      <c r="B727" s="16"/>
      <c r="C727" s="16"/>
    </row>
    <row r="728" spans="2:3" x14ac:dyDescent="0.2">
      <c r="B728" s="16"/>
      <c r="C728" s="16"/>
    </row>
    <row r="729" spans="2:3" x14ac:dyDescent="0.2">
      <c r="B729" s="16"/>
      <c r="C729" s="16"/>
    </row>
    <row r="730" spans="2:3" x14ac:dyDescent="0.2">
      <c r="B730" s="16"/>
      <c r="C730" s="16"/>
    </row>
    <row r="731" spans="2:3" x14ac:dyDescent="0.2">
      <c r="B731" s="16"/>
      <c r="C731" s="16"/>
    </row>
    <row r="732" spans="2:3" x14ac:dyDescent="0.2">
      <c r="B732" s="16"/>
      <c r="C732" s="16"/>
    </row>
    <row r="733" spans="2:3" x14ac:dyDescent="0.2">
      <c r="B733" s="16"/>
      <c r="C733" s="16"/>
    </row>
    <row r="734" spans="2:3" x14ac:dyDescent="0.2">
      <c r="B734" s="16"/>
      <c r="C734" s="16"/>
    </row>
    <row r="735" spans="2:3" x14ac:dyDescent="0.2">
      <c r="B735" s="16"/>
      <c r="C735" s="16"/>
    </row>
    <row r="736" spans="2:3" x14ac:dyDescent="0.2">
      <c r="B736" s="16"/>
      <c r="C736" s="16"/>
    </row>
    <row r="737" spans="2:3" x14ac:dyDescent="0.2">
      <c r="B737" s="16"/>
      <c r="C737" s="16"/>
    </row>
    <row r="738" spans="2:3" x14ac:dyDescent="0.2">
      <c r="B738" s="16"/>
      <c r="C738" s="16"/>
    </row>
    <row r="739" spans="2:3" x14ac:dyDescent="0.2">
      <c r="B739" s="16"/>
      <c r="C739" s="16"/>
    </row>
    <row r="740" spans="2:3" x14ac:dyDescent="0.2">
      <c r="B740" s="16"/>
      <c r="C740" s="16"/>
    </row>
    <row r="741" spans="2:3" x14ac:dyDescent="0.2">
      <c r="B741" s="16"/>
      <c r="C741" s="16"/>
    </row>
    <row r="742" spans="2:3" x14ac:dyDescent="0.2">
      <c r="B742" s="16"/>
      <c r="C742" s="16"/>
    </row>
    <row r="743" spans="2:3" x14ac:dyDescent="0.2">
      <c r="B743" s="16"/>
      <c r="C743" s="16"/>
    </row>
    <row r="744" spans="2:3" x14ac:dyDescent="0.2">
      <c r="B744" s="16"/>
      <c r="C744" s="16"/>
    </row>
    <row r="745" spans="2:3" x14ac:dyDescent="0.2">
      <c r="B745" s="16"/>
      <c r="C745" s="16"/>
    </row>
    <row r="746" spans="2:3" x14ac:dyDescent="0.2">
      <c r="B746" s="16"/>
      <c r="C746" s="16"/>
    </row>
    <row r="747" spans="2:3" x14ac:dyDescent="0.2">
      <c r="B747" s="16"/>
      <c r="C747" s="16"/>
    </row>
    <row r="748" spans="2:3" x14ac:dyDescent="0.2">
      <c r="B748" s="16"/>
      <c r="C748" s="16"/>
    </row>
    <row r="749" spans="2:3" x14ac:dyDescent="0.2">
      <c r="B749" s="16"/>
      <c r="C749" s="16"/>
    </row>
    <row r="750" spans="2:3" x14ac:dyDescent="0.2">
      <c r="B750" s="16"/>
      <c r="C750" s="16"/>
    </row>
    <row r="751" spans="2:3" x14ac:dyDescent="0.2">
      <c r="B751" s="16"/>
      <c r="C751" s="16"/>
    </row>
    <row r="752" spans="2:3" x14ac:dyDescent="0.2">
      <c r="B752" s="16"/>
      <c r="C752" s="16"/>
    </row>
    <row r="753" spans="2:3" x14ac:dyDescent="0.2">
      <c r="B753" s="16"/>
      <c r="C753" s="16"/>
    </row>
    <row r="754" spans="2:3" x14ac:dyDescent="0.2">
      <c r="B754" s="16"/>
      <c r="C754" s="16"/>
    </row>
    <row r="755" spans="2:3" x14ac:dyDescent="0.2">
      <c r="B755" s="16"/>
      <c r="C755" s="16"/>
    </row>
    <row r="756" spans="2:3" x14ac:dyDescent="0.2">
      <c r="B756" s="16"/>
      <c r="C756" s="16"/>
    </row>
    <row r="757" spans="2:3" x14ac:dyDescent="0.2">
      <c r="B757" s="16"/>
      <c r="C757" s="16"/>
    </row>
    <row r="758" spans="2:3" x14ac:dyDescent="0.2">
      <c r="B758" s="16"/>
      <c r="C758" s="16"/>
    </row>
    <row r="759" spans="2:3" x14ac:dyDescent="0.2">
      <c r="B759" s="16"/>
      <c r="C759" s="16"/>
    </row>
    <row r="760" spans="2:3" x14ac:dyDescent="0.2">
      <c r="B760" s="16"/>
      <c r="C760" s="16"/>
    </row>
    <row r="761" spans="2:3" x14ac:dyDescent="0.2">
      <c r="B761" s="16"/>
      <c r="C761" s="16"/>
    </row>
    <row r="762" spans="2:3" x14ac:dyDescent="0.2">
      <c r="B762" s="16"/>
      <c r="C762" s="16"/>
    </row>
    <row r="763" spans="2:3" x14ac:dyDescent="0.2">
      <c r="B763" s="16"/>
      <c r="C763" s="16"/>
    </row>
    <row r="764" spans="2:3" x14ac:dyDescent="0.2">
      <c r="B764" s="16"/>
      <c r="C764" s="16"/>
    </row>
    <row r="765" spans="2:3" x14ac:dyDescent="0.2">
      <c r="B765" s="16"/>
      <c r="C765" s="16"/>
    </row>
    <row r="766" spans="2:3" x14ac:dyDescent="0.2">
      <c r="B766" s="16"/>
      <c r="C766" s="16"/>
    </row>
    <row r="767" spans="2:3" x14ac:dyDescent="0.2">
      <c r="B767" s="16"/>
      <c r="C767" s="16"/>
    </row>
    <row r="768" spans="2:3" x14ac:dyDescent="0.2">
      <c r="B768" s="16"/>
      <c r="C768" s="16"/>
    </row>
    <row r="769" spans="2:3" x14ac:dyDescent="0.2">
      <c r="B769" s="16"/>
      <c r="C769" s="16"/>
    </row>
    <row r="770" spans="2:3" x14ac:dyDescent="0.2">
      <c r="B770" s="16"/>
      <c r="C770" s="16"/>
    </row>
    <row r="771" spans="2:3" x14ac:dyDescent="0.2">
      <c r="B771" s="16"/>
      <c r="C771" s="16"/>
    </row>
    <row r="772" spans="2:3" x14ac:dyDescent="0.2">
      <c r="B772" s="16"/>
      <c r="C772" s="16"/>
    </row>
    <row r="773" spans="2:3" x14ac:dyDescent="0.2">
      <c r="B773" s="16"/>
      <c r="C773" s="16"/>
    </row>
    <row r="774" spans="2:3" x14ac:dyDescent="0.2">
      <c r="B774" s="16"/>
      <c r="C774" s="16"/>
    </row>
    <row r="775" spans="2:3" x14ac:dyDescent="0.2">
      <c r="B775" s="16"/>
      <c r="C775" s="16"/>
    </row>
    <row r="776" spans="2:3" x14ac:dyDescent="0.2">
      <c r="B776" s="16"/>
      <c r="C776" s="16"/>
    </row>
    <row r="777" spans="2:3" x14ac:dyDescent="0.2">
      <c r="B777" s="16"/>
      <c r="C777" s="16"/>
    </row>
    <row r="778" spans="2:3" x14ac:dyDescent="0.2">
      <c r="B778" s="16"/>
      <c r="C778" s="16"/>
    </row>
    <row r="779" spans="2:3" x14ac:dyDescent="0.2">
      <c r="B779" s="16"/>
      <c r="C779" s="16"/>
    </row>
    <row r="780" spans="2:3" x14ac:dyDescent="0.2">
      <c r="B780" s="16"/>
      <c r="C780" s="16"/>
    </row>
    <row r="781" spans="2:3" x14ac:dyDescent="0.2">
      <c r="B781" s="16"/>
      <c r="C781" s="16"/>
    </row>
    <row r="782" spans="2:3" x14ac:dyDescent="0.2">
      <c r="B782" s="16"/>
      <c r="C782" s="16"/>
    </row>
    <row r="783" spans="2:3" x14ac:dyDescent="0.2">
      <c r="B783" s="16"/>
      <c r="C783" s="16"/>
    </row>
    <row r="784" spans="2:3" x14ac:dyDescent="0.2">
      <c r="B784" s="16"/>
      <c r="C784" s="16"/>
    </row>
    <row r="785" spans="2:3" x14ac:dyDescent="0.2">
      <c r="B785" s="16"/>
      <c r="C785" s="16"/>
    </row>
    <row r="786" spans="2:3" x14ac:dyDescent="0.2">
      <c r="B786" s="16"/>
      <c r="C786" s="16"/>
    </row>
    <row r="787" spans="2:3" x14ac:dyDescent="0.2">
      <c r="B787" s="16"/>
      <c r="C787" s="16"/>
    </row>
    <row r="788" spans="2:3" x14ac:dyDescent="0.2">
      <c r="B788" s="16"/>
      <c r="C788" s="16"/>
    </row>
    <row r="789" spans="2:3" x14ac:dyDescent="0.2">
      <c r="B789" s="16"/>
      <c r="C789" s="16"/>
    </row>
    <row r="790" spans="2:3" x14ac:dyDescent="0.2">
      <c r="B790" s="16"/>
      <c r="C790" s="16"/>
    </row>
    <row r="791" spans="2:3" x14ac:dyDescent="0.2">
      <c r="B791" s="16"/>
      <c r="C791" s="16"/>
    </row>
    <row r="792" spans="2:3" x14ac:dyDescent="0.2">
      <c r="B792" s="16"/>
      <c r="C792" s="16"/>
    </row>
    <row r="793" spans="2:3" x14ac:dyDescent="0.2">
      <c r="B793" s="16"/>
      <c r="C793" s="16"/>
    </row>
    <row r="794" spans="2:3" x14ac:dyDescent="0.2">
      <c r="B794" s="16"/>
      <c r="C794" s="16"/>
    </row>
    <row r="795" spans="2:3" x14ac:dyDescent="0.2">
      <c r="B795" s="16"/>
      <c r="C795" s="16"/>
    </row>
    <row r="796" spans="2:3" x14ac:dyDescent="0.2">
      <c r="B796" s="16"/>
      <c r="C796" s="16"/>
    </row>
    <row r="797" spans="2:3" x14ac:dyDescent="0.2">
      <c r="B797" s="16"/>
      <c r="C797" s="16"/>
    </row>
    <row r="798" spans="2:3" x14ac:dyDescent="0.2">
      <c r="B798" s="16"/>
      <c r="C798" s="16"/>
    </row>
    <row r="799" spans="2:3" x14ac:dyDescent="0.2">
      <c r="B799" s="16"/>
      <c r="C799" s="16"/>
    </row>
    <row r="800" spans="2:3" x14ac:dyDescent="0.2">
      <c r="B800" s="16"/>
      <c r="C800" s="16"/>
    </row>
    <row r="801" spans="2:3" x14ac:dyDescent="0.2">
      <c r="B801" s="16"/>
      <c r="C801" s="16"/>
    </row>
    <row r="802" spans="2:3" x14ac:dyDescent="0.2">
      <c r="B802" s="16"/>
      <c r="C802" s="16"/>
    </row>
    <row r="803" spans="2:3" x14ac:dyDescent="0.2">
      <c r="B803" s="16"/>
      <c r="C803" s="16"/>
    </row>
    <row r="804" spans="2:3" x14ac:dyDescent="0.2">
      <c r="B804" s="16"/>
      <c r="C804" s="16"/>
    </row>
    <row r="805" spans="2:3" x14ac:dyDescent="0.2">
      <c r="B805" s="16"/>
      <c r="C805" s="16"/>
    </row>
    <row r="806" spans="2:3" x14ac:dyDescent="0.2">
      <c r="B806" s="16"/>
      <c r="C806" s="16"/>
    </row>
    <row r="807" spans="2:3" x14ac:dyDescent="0.2">
      <c r="B807" s="16"/>
      <c r="C807" s="16"/>
    </row>
    <row r="808" spans="2:3" x14ac:dyDescent="0.2">
      <c r="B808" s="16"/>
      <c r="C808" s="16"/>
    </row>
    <row r="809" spans="2:3" x14ac:dyDescent="0.2">
      <c r="B809" s="16"/>
      <c r="C809" s="16"/>
    </row>
    <row r="810" spans="2:3" x14ac:dyDescent="0.2">
      <c r="B810" s="16"/>
      <c r="C810" s="16"/>
    </row>
    <row r="811" spans="2:3" x14ac:dyDescent="0.2">
      <c r="B811" s="16"/>
      <c r="C811" s="16"/>
    </row>
    <row r="812" spans="2:3" x14ac:dyDescent="0.2">
      <c r="B812" s="16"/>
      <c r="C812" s="16"/>
    </row>
    <row r="813" spans="2:3" x14ac:dyDescent="0.2">
      <c r="B813" s="16"/>
      <c r="C813" s="16"/>
    </row>
    <row r="814" spans="2:3" x14ac:dyDescent="0.2">
      <c r="B814" s="16"/>
      <c r="C814" s="16"/>
    </row>
    <row r="815" spans="2:3" x14ac:dyDescent="0.2">
      <c r="B815" s="16"/>
      <c r="C815" s="16"/>
    </row>
    <row r="816" spans="2:3" x14ac:dyDescent="0.2">
      <c r="B816" s="16"/>
      <c r="C816" s="16"/>
    </row>
    <row r="817" spans="2:3" x14ac:dyDescent="0.2">
      <c r="B817" s="16"/>
      <c r="C817" s="16"/>
    </row>
    <row r="818" spans="2:3" x14ac:dyDescent="0.2">
      <c r="B818" s="16"/>
      <c r="C818" s="16"/>
    </row>
    <row r="819" spans="2:3" x14ac:dyDescent="0.2">
      <c r="B819" s="16"/>
      <c r="C819" s="16"/>
    </row>
    <row r="820" spans="2:3" x14ac:dyDescent="0.2">
      <c r="B820" s="16"/>
      <c r="C820" s="16"/>
    </row>
    <row r="821" spans="2:3" x14ac:dyDescent="0.2">
      <c r="B821" s="16"/>
      <c r="C821" s="16"/>
    </row>
    <row r="822" spans="2:3" x14ac:dyDescent="0.2">
      <c r="B822" s="16"/>
      <c r="C822" s="16"/>
    </row>
    <row r="823" spans="2:3" x14ac:dyDescent="0.2">
      <c r="B823" s="16"/>
      <c r="C823" s="16"/>
    </row>
    <row r="824" spans="2:3" x14ac:dyDescent="0.2">
      <c r="B824" s="16"/>
      <c r="C824" s="16"/>
    </row>
    <row r="825" spans="2:3" x14ac:dyDescent="0.2">
      <c r="B825" s="16"/>
      <c r="C825" s="16"/>
    </row>
    <row r="826" spans="2:3" x14ac:dyDescent="0.2">
      <c r="B826" s="16"/>
      <c r="C826" s="16"/>
    </row>
    <row r="827" spans="2:3" x14ac:dyDescent="0.2">
      <c r="B827" s="16"/>
      <c r="C827" s="16"/>
    </row>
    <row r="828" spans="2:3" x14ac:dyDescent="0.2">
      <c r="B828" s="16"/>
      <c r="C828" s="16"/>
    </row>
    <row r="829" spans="2:3" x14ac:dyDescent="0.2">
      <c r="B829" s="16"/>
      <c r="C829" s="16"/>
    </row>
    <row r="830" spans="2:3" x14ac:dyDescent="0.2">
      <c r="B830" s="16"/>
      <c r="C830" s="16"/>
    </row>
    <row r="831" spans="2:3" x14ac:dyDescent="0.2">
      <c r="B831" s="16"/>
      <c r="C831" s="16"/>
    </row>
    <row r="832" spans="2:3" x14ac:dyDescent="0.2">
      <c r="B832" s="16"/>
      <c r="C832" s="16"/>
    </row>
    <row r="833" spans="2:3" x14ac:dyDescent="0.2">
      <c r="B833" s="16"/>
      <c r="C833" s="16"/>
    </row>
    <row r="834" spans="2:3" x14ac:dyDescent="0.2">
      <c r="B834" s="16"/>
      <c r="C834" s="16"/>
    </row>
    <row r="835" spans="2:3" x14ac:dyDescent="0.2">
      <c r="B835" s="16"/>
      <c r="C835" s="16"/>
    </row>
    <row r="836" spans="2:3" x14ac:dyDescent="0.2">
      <c r="B836" s="16"/>
      <c r="C836" s="16"/>
    </row>
    <row r="837" spans="2:3" x14ac:dyDescent="0.2">
      <c r="B837" s="16"/>
      <c r="C837" s="16"/>
    </row>
    <row r="838" spans="2:3" x14ac:dyDescent="0.2">
      <c r="B838" s="16"/>
      <c r="C838" s="16"/>
    </row>
    <row r="839" spans="2:3" x14ac:dyDescent="0.2">
      <c r="B839" s="16"/>
      <c r="C839" s="16"/>
    </row>
    <row r="840" spans="2:3" x14ac:dyDescent="0.2">
      <c r="B840" s="16"/>
      <c r="C840" s="16"/>
    </row>
    <row r="841" spans="2:3" x14ac:dyDescent="0.2">
      <c r="B841" s="16"/>
      <c r="C841" s="16"/>
    </row>
    <row r="842" spans="2:3" x14ac:dyDescent="0.2">
      <c r="B842" s="16"/>
      <c r="C842" s="16"/>
    </row>
    <row r="843" spans="2:3" x14ac:dyDescent="0.2">
      <c r="B843" s="16"/>
      <c r="C843" s="16"/>
    </row>
    <row r="844" spans="2:3" x14ac:dyDescent="0.2">
      <c r="B844" s="16"/>
      <c r="C844" s="16"/>
    </row>
    <row r="845" spans="2:3" x14ac:dyDescent="0.2">
      <c r="B845" s="16"/>
      <c r="C845" s="16"/>
    </row>
    <row r="846" spans="2:3" x14ac:dyDescent="0.2">
      <c r="B846" s="16"/>
      <c r="C846" s="16"/>
    </row>
    <row r="847" spans="2:3" x14ac:dyDescent="0.2">
      <c r="B847" s="16"/>
      <c r="C847" s="16"/>
    </row>
    <row r="848" spans="2:3" x14ac:dyDescent="0.2">
      <c r="B848" s="16"/>
      <c r="C848" s="16"/>
    </row>
    <row r="849" spans="2:3" x14ac:dyDescent="0.2">
      <c r="B849" s="16"/>
      <c r="C849" s="16"/>
    </row>
    <row r="850" spans="2:3" x14ac:dyDescent="0.2">
      <c r="B850" s="16"/>
      <c r="C850" s="16"/>
    </row>
    <row r="851" spans="2:3" x14ac:dyDescent="0.2">
      <c r="B851" s="16"/>
      <c r="C851" s="16"/>
    </row>
    <row r="852" spans="2:3" x14ac:dyDescent="0.2">
      <c r="B852" s="16"/>
      <c r="C852" s="16"/>
    </row>
    <row r="853" spans="2:3" x14ac:dyDescent="0.2">
      <c r="B853" s="16"/>
      <c r="C853" s="16"/>
    </row>
    <row r="854" spans="2:3" x14ac:dyDescent="0.2">
      <c r="B854" s="16"/>
      <c r="C854" s="16"/>
    </row>
    <row r="855" spans="2:3" x14ac:dyDescent="0.2">
      <c r="B855" s="16"/>
      <c r="C855" s="16"/>
    </row>
    <row r="856" spans="2:3" x14ac:dyDescent="0.2">
      <c r="B856" s="16"/>
      <c r="C856" s="16"/>
    </row>
    <row r="857" spans="2:3" x14ac:dyDescent="0.2">
      <c r="B857" s="16"/>
      <c r="C857" s="16"/>
    </row>
    <row r="858" spans="2:3" x14ac:dyDescent="0.2">
      <c r="B858" s="16"/>
      <c r="C858" s="16"/>
    </row>
    <row r="859" spans="2:3" x14ac:dyDescent="0.2">
      <c r="B859" s="16"/>
      <c r="C859" s="16"/>
    </row>
    <row r="860" spans="2:3" x14ac:dyDescent="0.2">
      <c r="B860" s="16"/>
      <c r="C860" s="16"/>
    </row>
    <row r="861" spans="2:3" x14ac:dyDescent="0.2">
      <c r="B861" s="16"/>
      <c r="C861" s="16"/>
    </row>
    <row r="862" spans="2:3" x14ac:dyDescent="0.2">
      <c r="B862" s="16"/>
      <c r="C862" s="16"/>
    </row>
    <row r="863" spans="2:3" x14ac:dyDescent="0.2">
      <c r="B863" s="16"/>
      <c r="C863" s="16"/>
    </row>
    <row r="864" spans="2:3" x14ac:dyDescent="0.2">
      <c r="B864" s="16"/>
      <c r="C864" s="16"/>
    </row>
    <row r="865" spans="2:3" x14ac:dyDescent="0.2">
      <c r="B865" s="16"/>
      <c r="C865" s="16"/>
    </row>
    <row r="866" spans="2:3" x14ac:dyDescent="0.2">
      <c r="B866" s="16"/>
      <c r="C866" s="16"/>
    </row>
    <row r="867" spans="2:3" x14ac:dyDescent="0.2">
      <c r="B867" s="16"/>
      <c r="C867" s="16"/>
    </row>
    <row r="868" spans="2:3" x14ac:dyDescent="0.2">
      <c r="B868" s="16"/>
      <c r="C868" s="16"/>
    </row>
    <row r="869" spans="2:3" x14ac:dyDescent="0.2">
      <c r="B869" s="16"/>
      <c r="C869" s="16"/>
    </row>
    <row r="870" spans="2:3" x14ac:dyDescent="0.2">
      <c r="B870" s="16"/>
      <c r="C870" s="16"/>
    </row>
    <row r="871" spans="2:3" x14ac:dyDescent="0.2">
      <c r="B871" s="16"/>
      <c r="C871" s="16"/>
    </row>
    <row r="872" spans="2:3" x14ac:dyDescent="0.2">
      <c r="B872" s="16"/>
      <c r="C872" s="16"/>
    </row>
    <row r="873" spans="2:3" x14ac:dyDescent="0.2">
      <c r="B873" s="16"/>
      <c r="C873" s="16"/>
    </row>
    <row r="874" spans="2:3" x14ac:dyDescent="0.2">
      <c r="B874" s="16"/>
      <c r="C874" s="16"/>
    </row>
    <row r="875" spans="2:3" x14ac:dyDescent="0.2">
      <c r="B875" s="16"/>
      <c r="C875" s="16"/>
    </row>
    <row r="876" spans="2:3" x14ac:dyDescent="0.2">
      <c r="B876" s="16"/>
      <c r="C876" s="16"/>
    </row>
    <row r="877" spans="2:3" x14ac:dyDescent="0.2">
      <c r="B877" s="16"/>
      <c r="C877" s="16"/>
    </row>
    <row r="878" spans="2:3" x14ac:dyDescent="0.2">
      <c r="B878" s="16"/>
      <c r="C878" s="16"/>
    </row>
    <row r="879" spans="2:3" x14ac:dyDescent="0.2">
      <c r="B879" s="16"/>
      <c r="C879" s="16"/>
    </row>
    <row r="880" spans="2:3" x14ac:dyDescent="0.2">
      <c r="B880" s="16"/>
      <c r="C880" s="16"/>
    </row>
    <row r="881" spans="2:3" x14ac:dyDescent="0.2">
      <c r="B881" s="16"/>
      <c r="C881" s="16"/>
    </row>
    <row r="882" spans="2:3" x14ac:dyDescent="0.2">
      <c r="B882" s="16"/>
      <c r="C882" s="16"/>
    </row>
    <row r="883" spans="2:3" x14ac:dyDescent="0.2">
      <c r="B883" s="16"/>
      <c r="C883" s="16"/>
    </row>
    <row r="884" spans="2:3" x14ac:dyDescent="0.2">
      <c r="B884" s="16"/>
      <c r="C884" s="16"/>
    </row>
    <row r="885" spans="2:3" x14ac:dyDescent="0.2">
      <c r="B885" s="16"/>
      <c r="C885" s="16"/>
    </row>
    <row r="886" spans="2:3" x14ac:dyDescent="0.2">
      <c r="B886" s="16"/>
      <c r="C886" s="16"/>
    </row>
    <row r="887" spans="2:3" x14ac:dyDescent="0.2">
      <c r="B887" s="16"/>
      <c r="C887" s="16"/>
    </row>
    <row r="888" spans="2:3" x14ac:dyDescent="0.2">
      <c r="B888" s="16"/>
      <c r="C888" s="16"/>
    </row>
    <row r="889" spans="2:3" x14ac:dyDescent="0.2">
      <c r="B889" s="16"/>
      <c r="C889" s="16"/>
    </row>
    <row r="890" spans="2:3" x14ac:dyDescent="0.2">
      <c r="B890" s="16"/>
      <c r="C890" s="16"/>
    </row>
    <row r="891" spans="2:3" x14ac:dyDescent="0.2">
      <c r="B891" s="16"/>
      <c r="C891" s="16"/>
    </row>
    <row r="892" spans="2:3" x14ac:dyDescent="0.2">
      <c r="B892" s="16"/>
      <c r="C892" s="16"/>
    </row>
    <row r="893" spans="2:3" x14ac:dyDescent="0.2">
      <c r="B893" s="16"/>
      <c r="C893" s="16"/>
    </row>
    <row r="894" spans="2:3" x14ac:dyDescent="0.2">
      <c r="B894" s="16"/>
      <c r="C894" s="16"/>
    </row>
    <row r="895" spans="2:3" x14ac:dyDescent="0.2">
      <c r="B895" s="16"/>
      <c r="C895" s="16"/>
    </row>
    <row r="896" spans="2:3" x14ac:dyDescent="0.2">
      <c r="B896" s="16"/>
      <c r="C896" s="16"/>
    </row>
    <row r="897" spans="2:3" x14ac:dyDescent="0.2">
      <c r="B897" s="16"/>
      <c r="C897" s="16"/>
    </row>
    <row r="898" spans="2:3" x14ac:dyDescent="0.2">
      <c r="B898" s="16"/>
      <c r="C898" s="16"/>
    </row>
    <row r="899" spans="2:3" x14ac:dyDescent="0.2">
      <c r="B899" s="16"/>
      <c r="C899" s="16"/>
    </row>
    <row r="900" spans="2:3" x14ac:dyDescent="0.2">
      <c r="B900" s="16"/>
      <c r="C900" s="16"/>
    </row>
    <row r="901" spans="2:3" x14ac:dyDescent="0.2">
      <c r="B901" s="16"/>
      <c r="C901" s="16"/>
    </row>
    <row r="902" spans="2:3" x14ac:dyDescent="0.2">
      <c r="B902" s="16"/>
      <c r="C902" s="16"/>
    </row>
    <row r="903" spans="2:3" x14ac:dyDescent="0.2">
      <c r="B903" s="16"/>
      <c r="C903" s="16"/>
    </row>
    <row r="904" spans="2:3" x14ac:dyDescent="0.2">
      <c r="B904" s="16"/>
      <c r="C904" s="16"/>
    </row>
    <row r="905" spans="2:3" x14ac:dyDescent="0.2">
      <c r="B905" s="16"/>
      <c r="C905" s="16"/>
    </row>
    <row r="906" spans="2:3" x14ac:dyDescent="0.2">
      <c r="B906" s="16"/>
      <c r="C906" s="16"/>
    </row>
    <row r="907" spans="2:3" x14ac:dyDescent="0.2">
      <c r="B907" s="16"/>
      <c r="C907" s="16"/>
    </row>
    <row r="908" spans="2:3" x14ac:dyDescent="0.2">
      <c r="B908" s="16"/>
      <c r="C908" s="16"/>
    </row>
    <row r="909" spans="2:3" x14ac:dyDescent="0.2">
      <c r="B909" s="16"/>
      <c r="C909" s="16"/>
    </row>
    <row r="910" spans="2:3" x14ac:dyDescent="0.2">
      <c r="B910" s="16"/>
      <c r="C910" s="16"/>
    </row>
    <row r="911" spans="2:3" x14ac:dyDescent="0.2">
      <c r="B911" s="16"/>
      <c r="C911" s="16"/>
    </row>
    <row r="912" spans="2:3" x14ac:dyDescent="0.2">
      <c r="B912" s="16"/>
      <c r="C912" s="16"/>
    </row>
    <row r="913" spans="2:3" x14ac:dyDescent="0.2">
      <c r="B913" s="16"/>
      <c r="C913" s="16"/>
    </row>
    <row r="914" spans="2:3" x14ac:dyDescent="0.2">
      <c r="B914" s="16"/>
      <c r="C914" s="16"/>
    </row>
    <row r="915" spans="2:3" x14ac:dyDescent="0.2">
      <c r="B915" s="16"/>
      <c r="C915" s="16"/>
    </row>
    <row r="916" spans="2:3" x14ac:dyDescent="0.2">
      <c r="B916" s="16"/>
      <c r="C916" s="16"/>
    </row>
    <row r="917" spans="2:3" x14ac:dyDescent="0.2">
      <c r="B917" s="16"/>
      <c r="C917" s="16"/>
    </row>
    <row r="918" spans="2:3" x14ac:dyDescent="0.2">
      <c r="B918" s="16"/>
      <c r="C918" s="16"/>
    </row>
    <row r="919" spans="2:3" x14ac:dyDescent="0.2">
      <c r="B919" s="16"/>
      <c r="C919" s="16"/>
    </row>
    <row r="920" spans="2:3" x14ac:dyDescent="0.2">
      <c r="B920" s="16"/>
      <c r="C920" s="16"/>
    </row>
    <row r="921" spans="2:3" x14ac:dyDescent="0.2">
      <c r="B921" s="16"/>
      <c r="C921" s="16"/>
    </row>
    <row r="922" spans="2:3" x14ac:dyDescent="0.2">
      <c r="B922" s="16"/>
      <c r="C922" s="16"/>
    </row>
    <row r="923" spans="2:3" x14ac:dyDescent="0.2">
      <c r="B923" s="16"/>
      <c r="C923" s="16"/>
    </row>
    <row r="924" spans="2:3" x14ac:dyDescent="0.2">
      <c r="B924" s="16"/>
      <c r="C924" s="16"/>
    </row>
    <row r="925" spans="2:3" x14ac:dyDescent="0.2">
      <c r="B925" s="16"/>
      <c r="C925" s="16"/>
    </row>
    <row r="926" spans="2:3" x14ac:dyDescent="0.2">
      <c r="B926" s="16"/>
      <c r="C926" s="16"/>
    </row>
    <row r="927" spans="2:3" x14ac:dyDescent="0.2">
      <c r="B927" s="16"/>
      <c r="C927" s="16"/>
    </row>
    <row r="928" spans="2:3" x14ac:dyDescent="0.2">
      <c r="B928" s="16"/>
      <c r="C928" s="16"/>
    </row>
    <row r="929" spans="2:3" x14ac:dyDescent="0.2">
      <c r="B929" s="16"/>
      <c r="C929" s="16"/>
    </row>
    <row r="930" spans="2:3" x14ac:dyDescent="0.2">
      <c r="B930" s="16"/>
      <c r="C930" s="16"/>
    </row>
    <row r="931" spans="2:3" x14ac:dyDescent="0.2">
      <c r="B931" s="16"/>
      <c r="C931" s="16"/>
    </row>
    <row r="932" spans="2:3" x14ac:dyDescent="0.2">
      <c r="B932" s="16"/>
      <c r="C932" s="16"/>
    </row>
    <row r="933" spans="2:3" x14ac:dyDescent="0.2">
      <c r="B933" s="16"/>
      <c r="C933" s="16"/>
    </row>
    <row r="934" spans="2:3" x14ac:dyDescent="0.2">
      <c r="B934" s="16"/>
      <c r="C934" s="16"/>
    </row>
    <row r="935" spans="2:3" x14ac:dyDescent="0.2">
      <c r="B935" s="16"/>
      <c r="C935" s="16"/>
    </row>
    <row r="936" spans="2:3" x14ac:dyDescent="0.2">
      <c r="B936" s="16"/>
      <c r="C936" s="16"/>
    </row>
    <row r="937" spans="2:3" x14ac:dyDescent="0.2">
      <c r="B937" s="16"/>
      <c r="C937" s="16"/>
    </row>
    <row r="938" spans="2:3" x14ac:dyDescent="0.2">
      <c r="B938" s="16"/>
      <c r="C938" s="16"/>
    </row>
    <row r="939" spans="2:3" x14ac:dyDescent="0.2">
      <c r="B939" s="16"/>
      <c r="C939" s="16"/>
    </row>
    <row r="940" spans="2:3" x14ac:dyDescent="0.2">
      <c r="B940" s="16"/>
      <c r="C940" s="16"/>
    </row>
    <row r="941" spans="2:3" x14ac:dyDescent="0.2">
      <c r="B941" s="16"/>
      <c r="C941" s="16"/>
    </row>
    <row r="942" spans="2:3" x14ac:dyDescent="0.2">
      <c r="B942" s="16"/>
      <c r="C942" s="16"/>
    </row>
    <row r="943" spans="2:3" x14ac:dyDescent="0.2">
      <c r="B943" s="16"/>
      <c r="C943" s="16"/>
    </row>
    <row r="944" spans="2:3" x14ac:dyDescent="0.2">
      <c r="B944" s="16"/>
      <c r="C944" s="16"/>
    </row>
    <row r="945" spans="2:3" x14ac:dyDescent="0.2">
      <c r="B945" s="16"/>
      <c r="C945" s="16"/>
    </row>
    <row r="946" spans="2:3" x14ac:dyDescent="0.2">
      <c r="B946" s="16"/>
      <c r="C946" s="16"/>
    </row>
    <row r="947" spans="2:3" x14ac:dyDescent="0.2">
      <c r="B947" s="16"/>
      <c r="C947" s="16"/>
    </row>
    <row r="948" spans="2:3" x14ac:dyDescent="0.2">
      <c r="B948" s="16"/>
      <c r="C948" s="16"/>
    </row>
    <row r="949" spans="2:3" x14ac:dyDescent="0.2">
      <c r="B949" s="16"/>
      <c r="C949" s="16"/>
    </row>
    <row r="950" spans="2:3" x14ac:dyDescent="0.2">
      <c r="B950" s="16"/>
      <c r="C950" s="16"/>
    </row>
    <row r="951" spans="2:3" x14ac:dyDescent="0.2">
      <c r="B951" s="16"/>
      <c r="C951" s="16"/>
    </row>
    <row r="952" spans="2:3" x14ac:dyDescent="0.2">
      <c r="B952" s="16"/>
      <c r="C952" s="16"/>
    </row>
    <row r="953" spans="2:3" x14ac:dyDescent="0.2">
      <c r="B953" s="16"/>
      <c r="C953" s="16"/>
    </row>
    <row r="954" spans="2:3" x14ac:dyDescent="0.2">
      <c r="B954" s="16"/>
      <c r="C954" s="16"/>
    </row>
    <row r="955" spans="2:3" x14ac:dyDescent="0.2">
      <c r="B955" s="16"/>
      <c r="C955" s="16"/>
    </row>
    <row r="956" spans="2:3" x14ac:dyDescent="0.2">
      <c r="B956" s="16"/>
      <c r="C956" s="16"/>
    </row>
    <row r="957" spans="2:3" x14ac:dyDescent="0.2">
      <c r="B957" s="16"/>
      <c r="C957" s="16"/>
    </row>
    <row r="958" spans="2:3" x14ac:dyDescent="0.2">
      <c r="B958" s="16"/>
      <c r="C958" s="16"/>
    </row>
    <row r="959" spans="2:3" x14ac:dyDescent="0.2">
      <c r="B959" s="16"/>
      <c r="C959" s="16"/>
    </row>
    <row r="960" spans="2:3" x14ac:dyDescent="0.2">
      <c r="B960" s="16"/>
      <c r="C960" s="16"/>
    </row>
    <row r="961" spans="2:3" x14ac:dyDescent="0.2">
      <c r="B961" s="16"/>
      <c r="C961" s="16"/>
    </row>
    <row r="962" spans="2:3" x14ac:dyDescent="0.2">
      <c r="B962" s="16"/>
      <c r="C962" s="16"/>
    </row>
    <row r="963" spans="2:3" x14ac:dyDescent="0.2">
      <c r="B963" s="16"/>
      <c r="C963" s="16"/>
    </row>
    <row r="964" spans="2:3" x14ac:dyDescent="0.2">
      <c r="B964" s="16"/>
      <c r="C964" s="16"/>
    </row>
    <row r="965" spans="2:3" x14ac:dyDescent="0.2">
      <c r="B965" s="16"/>
      <c r="C965" s="16"/>
    </row>
    <row r="966" spans="2:3" x14ac:dyDescent="0.2">
      <c r="B966" s="16"/>
      <c r="C966" s="16"/>
    </row>
    <row r="967" spans="2:3" x14ac:dyDescent="0.2">
      <c r="B967" s="16"/>
      <c r="C967" s="16"/>
    </row>
    <row r="968" spans="2:3" x14ac:dyDescent="0.2">
      <c r="B968" s="16"/>
      <c r="C968" s="16"/>
    </row>
    <row r="969" spans="2:3" x14ac:dyDescent="0.2">
      <c r="B969" s="16"/>
      <c r="C969" s="16"/>
    </row>
    <row r="970" spans="2:3" x14ac:dyDescent="0.2">
      <c r="B970" s="16"/>
      <c r="C970" s="16"/>
    </row>
    <row r="971" spans="2:3" x14ac:dyDescent="0.2">
      <c r="B971" s="16"/>
      <c r="C971" s="16"/>
    </row>
    <row r="972" spans="2:3" x14ac:dyDescent="0.2">
      <c r="B972" s="16"/>
      <c r="C972" s="16"/>
    </row>
    <row r="973" spans="2:3" x14ac:dyDescent="0.2">
      <c r="B973" s="16"/>
      <c r="C973" s="16"/>
    </row>
    <row r="974" spans="2:3" x14ac:dyDescent="0.2">
      <c r="B974" s="16"/>
      <c r="C974" s="16"/>
    </row>
    <row r="975" spans="2:3" x14ac:dyDescent="0.2">
      <c r="B975" s="16"/>
      <c r="C975" s="16"/>
    </row>
    <row r="976" spans="2:3" x14ac:dyDescent="0.2">
      <c r="B976" s="16"/>
      <c r="C976" s="16"/>
    </row>
    <row r="977" spans="2:3" x14ac:dyDescent="0.2">
      <c r="B977" s="16"/>
      <c r="C977" s="16"/>
    </row>
    <row r="978" spans="2:3" x14ac:dyDescent="0.2">
      <c r="B978" s="16"/>
      <c r="C978" s="16"/>
    </row>
    <row r="979" spans="2:3" x14ac:dyDescent="0.2">
      <c r="B979" s="16"/>
      <c r="C979" s="16"/>
    </row>
    <row r="980" spans="2:3" x14ac:dyDescent="0.2">
      <c r="B980" s="16"/>
      <c r="C980" s="16"/>
    </row>
    <row r="981" spans="2:3" x14ac:dyDescent="0.2">
      <c r="B981" s="16"/>
      <c r="C981" s="16"/>
    </row>
    <row r="982" spans="2:3" x14ac:dyDescent="0.2">
      <c r="B982" s="16"/>
      <c r="C982" s="16"/>
    </row>
    <row r="983" spans="2:3" x14ac:dyDescent="0.2">
      <c r="B983" s="16"/>
      <c r="C983" s="16"/>
    </row>
    <row r="984" spans="2:3" x14ac:dyDescent="0.2">
      <c r="B984" s="16"/>
      <c r="C984" s="16"/>
    </row>
    <row r="985" spans="2:3" x14ac:dyDescent="0.2">
      <c r="B985" s="16"/>
      <c r="C985" s="16"/>
    </row>
    <row r="986" spans="2:3" x14ac:dyDescent="0.2">
      <c r="B986" s="16"/>
      <c r="C986" s="16"/>
    </row>
    <row r="987" spans="2:3" x14ac:dyDescent="0.2">
      <c r="B987" s="16"/>
      <c r="C987" s="16"/>
    </row>
    <row r="988" spans="2:3" x14ac:dyDescent="0.2">
      <c r="B988" s="16"/>
      <c r="C988" s="16"/>
    </row>
    <row r="989" spans="2:3" x14ac:dyDescent="0.2">
      <c r="B989" s="16"/>
      <c r="C989" s="16"/>
    </row>
    <row r="990" spans="2:3" x14ac:dyDescent="0.2">
      <c r="B990" s="16"/>
      <c r="C990" s="16"/>
    </row>
    <row r="991" spans="2:3" x14ac:dyDescent="0.2">
      <c r="B991" s="16"/>
      <c r="C991" s="16"/>
    </row>
    <row r="992" spans="2:3" x14ac:dyDescent="0.2">
      <c r="B992" s="16"/>
      <c r="C992" s="16"/>
    </row>
    <row r="993" spans="2:3" x14ac:dyDescent="0.2">
      <c r="B993" s="16"/>
      <c r="C993" s="16"/>
    </row>
    <row r="994" spans="2:3" x14ac:dyDescent="0.2">
      <c r="B994" s="16"/>
      <c r="C994" s="16"/>
    </row>
    <row r="995" spans="2:3" x14ac:dyDescent="0.2">
      <c r="B995" s="16"/>
      <c r="C995" s="16"/>
    </row>
    <row r="996" spans="2:3" x14ac:dyDescent="0.2">
      <c r="B996" s="16"/>
      <c r="C996" s="16"/>
    </row>
    <row r="997" spans="2:3" x14ac:dyDescent="0.2">
      <c r="B997" s="16"/>
      <c r="C997" s="16"/>
    </row>
    <row r="998" spans="2:3" x14ac:dyDescent="0.2">
      <c r="B998" s="16"/>
      <c r="C998" s="16"/>
    </row>
    <row r="999" spans="2:3" x14ac:dyDescent="0.2">
      <c r="B999" s="16"/>
      <c r="C999" s="16"/>
    </row>
    <row r="1000" spans="2:3" x14ac:dyDescent="0.2">
      <c r="B1000" s="16"/>
      <c r="C1000" s="16"/>
    </row>
    <row r="1001" spans="2:3" x14ac:dyDescent="0.2">
      <c r="B1001" s="16"/>
      <c r="C1001" s="16"/>
    </row>
    <row r="1002" spans="2:3" x14ac:dyDescent="0.2">
      <c r="B1002" s="16"/>
      <c r="C1002" s="16"/>
    </row>
    <row r="1003" spans="2:3" x14ac:dyDescent="0.2">
      <c r="B1003" s="16"/>
      <c r="C1003" s="16"/>
    </row>
    <row r="1004" spans="2:3" x14ac:dyDescent="0.2">
      <c r="B1004" s="16"/>
      <c r="C1004" s="16"/>
    </row>
    <row r="1005" spans="2:3" x14ac:dyDescent="0.2">
      <c r="B1005" s="16"/>
      <c r="C1005" s="16"/>
    </row>
    <row r="1006" spans="2:3" x14ac:dyDescent="0.2">
      <c r="B1006" s="16"/>
      <c r="C1006" s="16"/>
    </row>
    <row r="1007" spans="2:3" x14ac:dyDescent="0.2">
      <c r="B1007" s="16"/>
      <c r="C1007" s="16"/>
    </row>
    <row r="1008" spans="2:3" x14ac:dyDescent="0.2">
      <c r="B1008" s="16"/>
      <c r="C1008" s="16"/>
    </row>
    <row r="1009" spans="2:3" x14ac:dyDescent="0.2">
      <c r="B1009" s="16"/>
      <c r="C1009" s="16"/>
    </row>
    <row r="1010" spans="2:3" x14ac:dyDescent="0.2">
      <c r="B1010" s="16"/>
      <c r="C1010" s="16"/>
    </row>
    <row r="1011" spans="2:3" x14ac:dyDescent="0.2">
      <c r="B1011" s="16"/>
      <c r="C1011" s="16"/>
    </row>
    <row r="1012" spans="2:3" x14ac:dyDescent="0.2">
      <c r="B1012" s="16"/>
      <c r="C1012" s="16"/>
    </row>
    <row r="1013" spans="2:3" x14ac:dyDescent="0.2">
      <c r="B1013" s="16"/>
      <c r="C1013" s="16"/>
    </row>
    <row r="1014" spans="2:3" x14ac:dyDescent="0.2">
      <c r="B1014" s="16"/>
      <c r="C1014" s="16"/>
    </row>
    <row r="1015" spans="2:3" x14ac:dyDescent="0.2">
      <c r="B1015" s="16"/>
      <c r="C1015" s="16"/>
    </row>
    <row r="1016" spans="2:3" x14ac:dyDescent="0.2">
      <c r="B1016" s="16"/>
      <c r="C1016" s="16"/>
    </row>
    <row r="1017" spans="2:3" x14ac:dyDescent="0.2">
      <c r="B1017" s="16"/>
      <c r="C1017" s="16"/>
    </row>
    <row r="1018" spans="2:3" x14ac:dyDescent="0.2">
      <c r="B1018" s="16"/>
      <c r="C1018" s="16"/>
    </row>
    <row r="1019" spans="2:3" x14ac:dyDescent="0.2">
      <c r="B1019" s="16"/>
      <c r="C1019" s="16"/>
    </row>
    <row r="1020" spans="2:3" x14ac:dyDescent="0.2">
      <c r="B1020" s="16"/>
      <c r="C1020" s="16"/>
    </row>
    <row r="1021" spans="2:3" x14ac:dyDescent="0.2">
      <c r="B1021" s="16"/>
      <c r="C1021" s="16"/>
    </row>
  </sheetData>
  <mergeCells count="2">
    <mergeCell ref="B1:M1"/>
    <mergeCell ref="N1:Y1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Аркуш5">
    <outlinePr summaryBelow="0" summaryRight="0"/>
  </sheetPr>
  <dimension ref="A1:AD1021"/>
  <sheetViews>
    <sheetView workbookViewId="0">
      <pane xSplit="1" topLeftCell="V1" activePane="topRight" state="frozen"/>
      <selection pane="topRight" activeCell="AC2" sqref="AC2"/>
    </sheetView>
  </sheetViews>
  <sheetFormatPr defaultColWidth="12.5703125" defaultRowHeight="15.75" customHeight="1" x14ac:dyDescent="0.2"/>
  <cols>
    <col min="1" max="1" width="32" customWidth="1"/>
    <col min="2" max="30" width="18.7109375" customWidth="1"/>
  </cols>
  <sheetData>
    <row r="1" spans="1:30" x14ac:dyDescent="0.2">
      <c r="A1" s="8"/>
      <c r="B1" s="44" t="s">
        <v>252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6" t="s">
        <v>253</v>
      </c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 s="20" customFormat="1" x14ac:dyDescent="0.2">
      <c r="A2" s="20" t="s">
        <v>162</v>
      </c>
      <c r="B2" s="28" t="str">
        <f>'MultiPlus &amp; Sunlight'!C146</f>
        <v>TMS4802003009GX</v>
      </c>
      <c r="C2" s="28" t="str">
        <f>'MultiPlus &amp; Sunlight'!C159</f>
        <v>TMS4803003009GX</v>
      </c>
      <c r="D2" s="28" t="str">
        <f>'MultiPlus &amp; Sunlight'!C172</f>
        <v>TMS4804003009GX</v>
      </c>
      <c r="E2" s="28" t="str">
        <f>'MultiPlus &amp; Sunlight'!C185</f>
        <v>TMS4803003015GX</v>
      </c>
      <c r="F2" s="28" t="str">
        <f>'MultiPlus &amp; Sunlight'!C198</f>
        <v>TMS4804003015GX</v>
      </c>
      <c r="G2" s="28" t="str">
        <f>'MultiPlus &amp; Sunlight'!C211</f>
        <v>TMS4805003015GX</v>
      </c>
      <c r="H2" s="28" t="str">
        <f>'MultiPlus &amp; Sunlight'!C224</f>
        <v>TMS4805003024GX</v>
      </c>
      <c r="I2" s="28" t="str">
        <f>'MultiPlus &amp; Sunlight'!C237</f>
        <v>TMS4806003024GX</v>
      </c>
      <c r="J2" s="28" t="str">
        <f>'MultiPlus &amp; Sunlight'!C250</f>
        <v>TMS4808003024GX</v>
      </c>
      <c r="K2" s="28" t="str">
        <f>'MultiPlus &amp; Sunlight'!C263</f>
        <v>TMS4810003024GX</v>
      </c>
      <c r="L2" s="28" t="str">
        <f>'MultiPlus &amp; Sunlight'!C276</f>
        <v>TMS4808003030GX</v>
      </c>
      <c r="M2" s="28" t="str">
        <f>'MultiPlus &amp; Sunlight'!C289</f>
        <v>TMS4810003030GX</v>
      </c>
      <c r="N2" s="28" t="str">
        <f>'MultiPlus &amp; Sunlight'!C315</f>
        <v>TMS4809003045GX</v>
      </c>
      <c r="O2" s="28" t="str">
        <f>'MultiPlus &amp; Sunlight'!C328</f>
        <v>TMS4812003045GX</v>
      </c>
      <c r="P2" s="28" t="str">
        <f>'MultiPlus &amp; Sunlight'!C341</f>
        <v>TMS4815003045GX</v>
      </c>
      <c r="R2" s="28" t="str">
        <f>'Quattro &amp; Sunlight'!C134</f>
        <v>TQS4803003015GX</v>
      </c>
      <c r="S2" s="28" t="str">
        <f>'Quattro &amp; Sunlight'!C147</f>
        <v>TQS4804003015GX</v>
      </c>
      <c r="T2" s="28" t="str">
        <f>'Quattro &amp; Sunlight'!C160</f>
        <v>TQS4805003015GX</v>
      </c>
      <c r="U2" s="28" t="str">
        <f>'Quattro &amp; Sunlight'!C173</f>
        <v>TQS4805003024GX</v>
      </c>
      <c r="V2" s="28" t="str">
        <f>'Quattro &amp; Sunlight'!C186</f>
        <v>TQS4806003024GX</v>
      </c>
      <c r="W2" s="28" t="str">
        <f>'Quattro &amp; Sunlight'!C199</f>
        <v>TQS4808003024GX</v>
      </c>
      <c r="X2" s="28" t="str">
        <f>'Quattro &amp; Sunlight'!C212</f>
        <v>TQS4808003030GX</v>
      </c>
      <c r="Y2" s="28" t="str">
        <f>'Quattro &amp; Sunlight'!C225</f>
        <v>TQS4810003030GX</v>
      </c>
      <c r="Z2" s="28" t="str">
        <f>'Quattro &amp; Sunlight'!C238</f>
        <v>TQS4812003030GX</v>
      </c>
      <c r="AA2" s="28" t="str">
        <f>'Quattro &amp; Sunlight'!C251</f>
        <v>TQS4812003045GX</v>
      </c>
      <c r="AB2" s="28" t="str">
        <f>'Quattro &amp; Sunlight'!C264</f>
        <v>TQS4815003045GX</v>
      </c>
      <c r="AC2" s="28" t="str">
        <f>'Quattro &amp; Sunlight'!C277</f>
        <v>TQS4818003045GX</v>
      </c>
      <c r="AD2" s="20" t="str">
        <f>'Quattro &amp; Sunlight'!C290</f>
        <v>TQS4820003045GX</v>
      </c>
    </row>
    <row r="3" spans="1:30" x14ac:dyDescent="0.2">
      <c r="A3" s="1" t="s">
        <v>163</v>
      </c>
      <c r="B3" s="17" t="s">
        <v>254</v>
      </c>
      <c r="C3" s="17" t="s">
        <v>254</v>
      </c>
      <c r="D3" s="17" t="s">
        <v>254</v>
      </c>
      <c r="E3" s="17" t="s">
        <v>254</v>
      </c>
      <c r="F3" s="17" t="s">
        <v>254</v>
      </c>
      <c r="G3" s="17" t="s">
        <v>254</v>
      </c>
      <c r="H3" s="17" t="s">
        <v>254</v>
      </c>
      <c r="I3" s="17" t="s">
        <v>254</v>
      </c>
      <c r="J3" s="17" t="s">
        <v>254</v>
      </c>
      <c r="K3" s="17" t="s">
        <v>254</v>
      </c>
      <c r="L3" s="17" t="s">
        <v>254</v>
      </c>
      <c r="M3" s="17" t="s">
        <v>254</v>
      </c>
      <c r="N3" s="17" t="s">
        <v>254</v>
      </c>
      <c r="O3" s="17" t="s">
        <v>254</v>
      </c>
      <c r="P3" s="17" t="s">
        <v>254</v>
      </c>
      <c r="Q3" s="17"/>
      <c r="R3" s="17" t="s">
        <v>254</v>
      </c>
      <c r="S3" s="17" t="s">
        <v>254</v>
      </c>
      <c r="T3" s="17" t="s">
        <v>254</v>
      </c>
      <c r="U3" s="17" t="s">
        <v>254</v>
      </c>
      <c r="V3" s="17" t="s">
        <v>254</v>
      </c>
      <c r="W3" s="17" t="s">
        <v>254</v>
      </c>
      <c r="X3" s="17" t="s">
        <v>254</v>
      </c>
      <c r="Y3" s="17" t="s">
        <v>254</v>
      </c>
      <c r="Z3" s="17" t="s">
        <v>254</v>
      </c>
      <c r="AA3" s="17" t="s">
        <v>254</v>
      </c>
      <c r="AB3" s="17" t="s">
        <v>254</v>
      </c>
      <c r="AC3" s="17" t="s">
        <v>254</v>
      </c>
      <c r="AD3" s="17" t="s">
        <v>254</v>
      </c>
    </row>
    <row r="4" spans="1:30" x14ac:dyDescent="0.2">
      <c r="A4" s="1" t="s">
        <v>165</v>
      </c>
      <c r="B4" s="17">
        <v>400</v>
      </c>
      <c r="C4" s="17">
        <v>400</v>
      </c>
      <c r="D4" s="17">
        <v>400</v>
      </c>
      <c r="E4" s="17">
        <v>400</v>
      </c>
      <c r="F4" s="17">
        <v>400</v>
      </c>
      <c r="G4" s="17">
        <v>400</v>
      </c>
      <c r="H4" s="17">
        <v>400</v>
      </c>
      <c r="I4" s="17">
        <v>400</v>
      </c>
      <c r="J4" s="17">
        <v>400</v>
      </c>
      <c r="K4" s="17">
        <v>400</v>
      </c>
      <c r="L4" s="17">
        <v>400</v>
      </c>
      <c r="M4" s="17">
        <v>400</v>
      </c>
      <c r="N4" s="17">
        <v>400</v>
      </c>
      <c r="O4" s="17">
        <v>400</v>
      </c>
      <c r="P4" s="17">
        <v>400</v>
      </c>
      <c r="Q4" s="17"/>
      <c r="R4" s="17">
        <v>400</v>
      </c>
      <c r="S4" s="17">
        <v>400</v>
      </c>
      <c r="T4" s="17">
        <v>400</v>
      </c>
      <c r="U4" s="17">
        <v>400</v>
      </c>
      <c r="V4" s="17">
        <v>400</v>
      </c>
      <c r="W4" s="17">
        <v>400</v>
      </c>
      <c r="X4" s="17">
        <v>400</v>
      </c>
      <c r="Y4" s="17">
        <v>400</v>
      </c>
      <c r="Z4" s="17">
        <v>400</v>
      </c>
      <c r="AA4" s="17">
        <v>400</v>
      </c>
      <c r="AB4" s="17">
        <v>400</v>
      </c>
      <c r="AC4" s="17">
        <v>400</v>
      </c>
      <c r="AD4" s="17">
        <v>400</v>
      </c>
    </row>
    <row r="5" spans="1:30" x14ac:dyDescent="0.2">
      <c r="A5" s="1" t="s">
        <v>166</v>
      </c>
      <c r="B5" s="17">
        <v>400</v>
      </c>
      <c r="C5" s="17">
        <v>400</v>
      </c>
      <c r="D5" s="17">
        <v>400</v>
      </c>
      <c r="E5" s="17">
        <v>400</v>
      </c>
      <c r="F5" s="17">
        <v>400</v>
      </c>
      <c r="G5" s="17">
        <v>400</v>
      </c>
      <c r="H5" s="17">
        <v>400</v>
      </c>
      <c r="I5" s="17">
        <v>400</v>
      </c>
      <c r="J5" s="17">
        <v>400</v>
      </c>
      <c r="K5" s="17">
        <v>400</v>
      </c>
      <c r="L5" s="17">
        <v>400</v>
      </c>
      <c r="M5" s="17">
        <v>400</v>
      </c>
      <c r="N5" s="17">
        <v>400</v>
      </c>
      <c r="O5" s="17">
        <v>400</v>
      </c>
      <c r="P5" s="17">
        <v>400</v>
      </c>
      <c r="Q5" s="17"/>
      <c r="R5" s="17">
        <v>400</v>
      </c>
      <c r="S5" s="17">
        <v>400</v>
      </c>
      <c r="T5" s="17">
        <v>400</v>
      </c>
      <c r="U5" s="17">
        <v>400</v>
      </c>
      <c r="V5" s="17">
        <v>400</v>
      </c>
      <c r="W5" s="17">
        <v>400</v>
      </c>
      <c r="X5" s="17">
        <v>400</v>
      </c>
      <c r="Y5" s="17">
        <v>400</v>
      </c>
      <c r="Z5" s="17">
        <v>400</v>
      </c>
      <c r="AA5" s="17">
        <v>400</v>
      </c>
      <c r="AB5" s="17">
        <v>400</v>
      </c>
      <c r="AC5" s="17">
        <v>400</v>
      </c>
      <c r="AD5" s="17">
        <v>400</v>
      </c>
    </row>
    <row r="6" spans="1:30" x14ac:dyDescent="0.2">
      <c r="A6" s="1" t="s">
        <v>167</v>
      </c>
      <c r="B6" s="17">
        <v>22</v>
      </c>
      <c r="C6" s="17">
        <v>22</v>
      </c>
      <c r="D6" s="17">
        <v>22</v>
      </c>
      <c r="E6" s="17">
        <v>33</v>
      </c>
      <c r="F6" s="17">
        <v>33</v>
      </c>
      <c r="G6" s="17">
        <v>33</v>
      </c>
      <c r="H6" s="17">
        <v>66</v>
      </c>
      <c r="I6" s="17">
        <v>66</v>
      </c>
      <c r="J6" s="17">
        <v>66</v>
      </c>
      <c r="K6" s="17">
        <v>66</v>
      </c>
      <c r="L6" s="17">
        <v>66</v>
      </c>
      <c r="M6" s="17">
        <v>66</v>
      </c>
      <c r="N6" s="17">
        <v>66</v>
      </c>
      <c r="O6" s="17">
        <v>66</v>
      </c>
      <c r="P6" s="17">
        <v>66</v>
      </c>
      <c r="Q6" s="17"/>
      <c r="R6" s="17">
        <v>66</v>
      </c>
      <c r="S6" s="17">
        <v>66</v>
      </c>
      <c r="T6" s="17">
        <v>66</v>
      </c>
      <c r="U6" s="17">
        <v>66</v>
      </c>
      <c r="V6" s="17">
        <v>66</v>
      </c>
      <c r="W6" s="17">
        <v>66</v>
      </c>
      <c r="X6" s="17">
        <v>66</v>
      </c>
      <c r="Y6" s="17">
        <v>66</v>
      </c>
      <c r="Z6" s="17">
        <v>66</v>
      </c>
      <c r="AA6" s="17">
        <v>66</v>
      </c>
      <c r="AB6" s="17">
        <v>66</v>
      </c>
      <c r="AC6" s="17">
        <v>66</v>
      </c>
      <c r="AD6" s="17">
        <v>66</v>
      </c>
    </row>
    <row r="7" spans="1:30" x14ac:dyDescent="0.2">
      <c r="A7" s="1" t="s">
        <v>168</v>
      </c>
      <c r="B7" s="17">
        <v>9</v>
      </c>
      <c r="C7" s="17">
        <v>9</v>
      </c>
      <c r="D7" s="17">
        <v>9</v>
      </c>
      <c r="E7" s="17">
        <v>15</v>
      </c>
      <c r="F7" s="17">
        <v>15</v>
      </c>
      <c r="G7" s="17">
        <v>15</v>
      </c>
      <c r="H7" s="17">
        <v>24</v>
      </c>
      <c r="I7" s="17">
        <v>24</v>
      </c>
      <c r="J7" s="17">
        <v>24</v>
      </c>
      <c r="K7" s="17">
        <v>24</v>
      </c>
      <c r="L7" s="17">
        <v>30</v>
      </c>
      <c r="M7" s="17">
        <v>30</v>
      </c>
      <c r="N7" s="17">
        <v>45</v>
      </c>
      <c r="O7" s="17">
        <v>45</v>
      </c>
      <c r="P7" s="17">
        <v>45</v>
      </c>
      <c r="Q7" s="17"/>
      <c r="R7" s="17">
        <v>15</v>
      </c>
      <c r="S7" s="17">
        <v>15</v>
      </c>
      <c r="T7" s="17">
        <v>15</v>
      </c>
      <c r="U7" s="17">
        <v>24</v>
      </c>
      <c r="V7" s="17">
        <v>24</v>
      </c>
      <c r="W7" s="17">
        <v>24</v>
      </c>
      <c r="X7" s="17">
        <v>30</v>
      </c>
      <c r="Y7" s="17">
        <v>30</v>
      </c>
      <c r="Z7" s="17">
        <v>30</v>
      </c>
      <c r="AA7" s="17">
        <v>45</v>
      </c>
      <c r="AB7" s="17">
        <v>45</v>
      </c>
      <c r="AC7" s="17">
        <v>45</v>
      </c>
      <c r="AD7" s="17">
        <v>45</v>
      </c>
    </row>
    <row r="8" spans="1:30" x14ac:dyDescent="0.2">
      <c r="A8" s="1" t="s">
        <v>169</v>
      </c>
      <c r="B8" s="17">
        <v>7.2</v>
      </c>
      <c r="C8" s="17">
        <v>7.2</v>
      </c>
      <c r="D8" s="17">
        <v>7.2</v>
      </c>
      <c r="E8" s="17">
        <v>12</v>
      </c>
      <c r="F8" s="17">
        <v>12</v>
      </c>
      <c r="G8" s="17">
        <v>12</v>
      </c>
      <c r="H8" s="17">
        <f t="shared" ref="H8:K8" si="0">6.4*3</f>
        <v>19.200000000000003</v>
      </c>
      <c r="I8" s="17">
        <f t="shared" si="0"/>
        <v>19.200000000000003</v>
      </c>
      <c r="J8" s="17">
        <f t="shared" si="0"/>
        <v>19.200000000000003</v>
      </c>
      <c r="K8" s="17">
        <f t="shared" si="0"/>
        <v>19.200000000000003</v>
      </c>
      <c r="L8" s="17">
        <v>24</v>
      </c>
      <c r="M8" s="17">
        <v>24</v>
      </c>
      <c r="N8" s="17">
        <v>36</v>
      </c>
      <c r="O8" s="17">
        <v>36</v>
      </c>
      <c r="P8" s="17">
        <v>36</v>
      </c>
      <c r="Q8" s="17"/>
      <c r="R8" s="17">
        <v>12</v>
      </c>
      <c r="S8" s="17">
        <v>12</v>
      </c>
      <c r="T8" s="17">
        <v>12</v>
      </c>
      <c r="U8" s="17">
        <v>19.2</v>
      </c>
      <c r="V8" s="17">
        <v>19.2</v>
      </c>
      <c r="W8" s="17">
        <v>19.2</v>
      </c>
      <c r="X8" s="17">
        <v>24</v>
      </c>
      <c r="Y8" s="17">
        <v>24</v>
      </c>
      <c r="Z8" s="17">
        <v>24</v>
      </c>
      <c r="AA8" s="17">
        <v>36</v>
      </c>
      <c r="AB8" s="17">
        <v>36</v>
      </c>
      <c r="AC8" s="17">
        <v>36</v>
      </c>
      <c r="AD8" s="17">
        <v>36</v>
      </c>
    </row>
    <row r="9" spans="1:30" x14ac:dyDescent="0.2">
      <c r="A9" s="1" t="s">
        <v>170</v>
      </c>
      <c r="B9" s="17">
        <f t="shared" ref="B9:D9" si="1">5.5*3</f>
        <v>16.5</v>
      </c>
      <c r="C9" s="17">
        <f t="shared" si="1"/>
        <v>16.5</v>
      </c>
      <c r="D9" s="17">
        <f t="shared" si="1"/>
        <v>16.5</v>
      </c>
      <c r="E9" s="17">
        <v>27</v>
      </c>
      <c r="F9" s="17">
        <v>27</v>
      </c>
      <c r="G9" s="17">
        <v>27</v>
      </c>
      <c r="H9" s="17">
        <v>45</v>
      </c>
      <c r="I9" s="17">
        <v>45</v>
      </c>
      <c r="J9" s="17">
        <v>45</v>
      </c>
      <c r="K9" s="17">
        <v>45</v>
      </c>
      <c r="L9" s="17">
        <f t="shared" ref="L9:M9" si="2">18*3</f>
        <v>54</v>
      </c>
      <c r="M9" s="17">
        <f t="shared" si="2"/>
        <v>54</v>
      </c>
      <c r="N9" s="17">
        <v>75</v>
      </c>
      <c r="O9" s="17">
        <v>75</v>
      </c>
      <c r="P9" s="17">
        <v>75</v>
      </c>
      <c r="Q9" s="17"/>
      <c r="R9" s="17">
        <v>30</v>
      </c>
      <c r="S9" s="17">
        <v>30</v>
      </c>
      <c r="T9" s="17">
        <v>30</v>
      </c>
      <c r="U9" s="17">
        <f t="shared" ref="U9:W9" si="3">16*3</f>
        <v>48</v>
      </c>
      <c r="V9" s="17">
        <f t="shared" si="3"/>
        <v>48</v>
      </c>
      <c r="W9" s="17">
        <f t="shared" si="3"/>
        <v>48</v>
      </c>
      <c r="X9" s="17">
        <v>60</v>
      </c>
      <c r="Y9" s="17">
        <v>60</v>
      </c>
      <c r="Z9" s="17">
        <v>60</v>
      </c>
      <c r="AA9" s="17">
        <v>75</v>
      </c>
      <c r="AB9" s="17">
        <v>75</v>
      </c>
      <c r="AC9" s="17">
        <v>75</v>
      </c>
      <c r="AD9" s="17">
        <v>75</v>
      </c>
    </row>
    <row r="10" spans="1:30" x14ac:dyDescent="0.2">
      <c r="A10" s="1" t="s">
        <v>171</v>
      </c>
      <c r="B10" s="17">
        <v>200</v>
      </c>
      <c r="C10" s="17">
        <v>300</v>
      </c>
      <c r="D10" s="17">
        <v>400</v>
      </c>
      <c r="E10" s="17">
        <v>300</v>
      </c>
      <c r="F10" s="17">
        <v>400</v>
      </c>
      <c r="G10" s="17">
        <v>500</v>
      </c>
      <c r="H10" s="17">
        <v>500</v>
      </c>
      <c r="I10" s="17">
        <v>600</v>
      </c>
      <c r="J10" s="17">
        <v>800</v>
      </c>
      <c r="K10" s="17">
        <v>1000</v>
      </c>
      <c r="L10" s="17">
        <v>800</v>
      </c>
      <c r="M10" s="17">
        <v>1000</v>
      </c>
      <c r="N10" s="17">
        <v>900</v>
      </c>
      <c r="O10" s="17">
        <v>1200</v>
      </c>
      <c r="P10" s="17">
        <v>1500</v>
      </c>
      <c r="Q10" s="17"/>
      <c r="R10" s="17">
        <v>300</v>
      </c>
      <c r="S10" s="17">
        <v>400</v>
      </c>
      <c r="T10" s="17">
        <v>500</v>
      </c>
      <c r="U10" s="17">
        <v>500</v>
      </c>
      <c r="V10" s="17">
        <v>600</v>
      </c>
      <c r="W10" s="17">
        <v>800</v>
      </c>
      <c r="X10" s="17">
        <v>800</v>
      </c>
      <c r="Y10" s="17">
        <v>1000</v>
      </c>
      <c r="Z10" s="17">
        <v>1200</v>
      </c>
      <c r="AA10" s="17">
        <v>1200</v>
      </c>
      <c r="AB10" s="17">
        <v>1500</v>
      </c>
      <c r="AC10" s="17">
        <v>1800</v>
      </c>
      <c r="AD10" s="17">
        <v>2000</v>
      </c>
    </row>
    <row r="11" spans="1:30" x14ac:dyDescent="0.2">
      <c r="A11" s="1" t="s">
        <v>172</v>
      </c>
      <c r="B11" s="17">
        <v>51.2</v>
      </c>
      <c r="C11" s="17">
        <v>51.2</v>
      </c>
      <c r="D11" s="17">
        <v>51.2</v>
      </c>
      <c r="E11" s="17">
        <v>51.2</v>
      </c>
      <c r="F11" s="17">
        <v>51.2</v>
      </c>
      <c r="G11" s="17">
        <v>51.2</v>
      </c>
      <c r="H11" s="17">
        <v>51.2</v>
      </c>
      <c r="I11" s="17">
        <v>51.2</v>
      </c>
      <c r="J11" s="17">
        <v>51.2</v>
      </c>
      <c r="K11" s="17">
        <v>51.2</v>
      </c>
      <c r="L11" s="17">
        <v>51.2</v>
      </c>
      <c r="M11" s="17">
        <v>51.2</v>
      </c>
      <c r="N11" s="17">
        <v>51.2</v>
      </c>
      <c r="O11" s="17">
        <v>51.2</v>
      </c>
      <c r="P11" s="17">
        <v>51.2</v>
      </c>
      <c r="Q11" s="17"/>
      <c r="R11" s="17">
        <v>51.2</v>
      </c>
      <c r="S11" s="17">
        <v>51.2</v>
      </c>
      <c r="T11" s="17">
        <v>51.2</v>
      </c>
      <c r="U11" s="17">
        <v>51.2</v>
      </c>
      <c r="V11" s="17">
        <v>51.2</v>
      </c>
      <c r="W11" s="17">
        <v>51.2</v>
      </c>
      <c r="X11" s="17">
        <v>51.2</v>
      </c>
      <c r="Y11" s="17">
        <v>51.2</v>
      </c>
      <c r="Z11" s="17">
        <v>51.2</v>
      </c>
      <c r="AA11" s="17">
        <v>51.2</v>
      </c>
      <c r="AB11" s="17">
        <v>51.2</v>
      </c>
      <c r="AC11" s="17">
        <v>51.2</v>
      </c>
      <c r="AD11" s="17">
        <v>51.2</v>
      </c>
    </row>
    <row r="12" spans="1:30" x14ac:dyDescent="0.2">
      <c r="A12" s="1" t="s">
        <v>173</v>
      </c>
      <c r="B12" s="17">
        <f t="shared" ref="B12:P12" si="4">B10*B11/1000</f>
        <v>10.24</v>
      </c>
      <c r="C12" s="17">
        <f t="shared" si="4"/>
        <v>15.36</v>
      </c>
      <c r="D12" s="17">
        <f t="shared" si="4"/>
        <v>20.48</v>
      </c>
      <c r="E12" s="17">
        <f t="shared" si="4"/>
        <v>15.36</v>
      </c>
      <c r="F12" s="17">
        <f t="shared" si="4"/>
        <v>20.48</v>
      </c>
      <c r="G12" s="17">
        <f t="shared" si="4"/>
        <v>25.6</v>
      </c>
      <c r="H12" s="17">
        <f t="shared" si="4"/>
        <v>25.6</v>
      </c>
      <c r="I12" s="17">
        <f t="shared" si="4"/>
        <v>30.72</v>
      </c>
      <c r="J12" s="17">
        <f t="shared" si="4"/>
        <v>40.96</v>
      </c>
      <c r="K12" s="17">
        <f t="shared" si="4"/>
        <v>51.2</v>
      </c>
      <c r="L12" s="17">
        <f t="shared" si="4"/>
        <v>40.96</v>
      </c>
      <c r="M12" s="17">
        <f t="shared" si="4"/>
        <v>51.2</v>
      </c>
      <c r="N12" s="17">
        <f t="shared" si="4"/>
        <v>46.08</v>
      </c>
      <c r="O12" s="17">
        <f t="shared" si="4"/>
        <v>61.44</v>
      </c>
      <c r="P12" s="17">
        <f t="shared" si="4"/>
        <v>76.8</v>
      </c>
      <c r="Q12" s="17"/>
      <c r="R12" s="17">
        <f t="shared" ref="R12:AD12" si="5">R10*R11/1000</f>
        <v>15.36</v>
      </c>
      <c r="S12" s="17">
        <f t="shared" si="5"/>
        <v>20.48</v>
      </c>
      <c r="T12" s="17">
        <f t="shared" si="5"/>
        <v>25.6</v>
      </c>
      <c r="U12" s="17">
        <f t="shared" si="5"/>
        <v>25.6</v>
      </c>
      <c r="V12" s="17">
        <f t="shared" si="5"/>
        <v>30.72</v>
      </c>
      <c r="W12" s="17">
        <f t="shared" si="5"/>
        <v>40.96</v>
      </c>
      <c r="X12" s="17">
        <f t="shared" si="5"/>
        <v>40.96</v>
      </c>
      <c r="Y12" s="17">
        <f t="shared" si="5"/>
        <v>51.2</v>
      </c>
      <c r="Z12" s="17">
        <f t="shared" si="5"/>
        <v>61.44</v>
      </c>
      <c r="AA12" s="17">
        <f t="shared" si="5"/>
        <v>61.44</v>
      </c>
      <c r="AB12" s="17">
        <f t="shared" si="5"/>
        <v>76.8</v>
      </c>
      <c r="AC12" s="17">
        <f t="shared" si="5"/>
        <v>92.16</v>
      </c>
      <c r="AD12" s="17">
        <f t="shared" si="5"/>
        <v>102.4</v>
      </c>
    </row>
    <row r="13" spans="1:30" x14ac:dyDescent="0.2">
      <c r="A13" s="1" t="s">
        <v>174</v>
      </c>
      <c r="B13" s="17">
        <v>105</v>
      </c>
      <c r="C13" s="17">
        <v>105</v>
      </c>
      <c r="D13" s="17">
        <v>105</v>
      </c>
      <c r="E13" s="17">
        <v>210</v>
      </c>
      <c r="F13" s="17">
        <v>210</v>
      </c>
      <c r="G13" s="17">
        <v>210</v>
      </c>
      <c r="H13" s="17">
        <f t="shared" ref="H13:K13" si="6">110*3</f>
        <v>330</v>
      </c>
      <c r="I13" s="17">
        <f t="shared" si="6"/>
        <v>330</v>
      </c>
      <c r="J13" s="17">
        <f t="shared" si="6"/>
        <v>330</v>
      </c>
      <c r="K13" s="17">
        <f t="shared" si="6"/>
        <v>330</v>
      </c>
      <c r="L13" s="17">
        <f t="shared" ref="L13:M13" si="7">140*3</f>
        <v>420</v>
      </c>
      <c r="M13" s="17">
        <f t="shared" si="7"/>
        <v>420</v>
      </c>
      <c r="N13" s="17">
        <v>600</v>
      </c>
      <c r="O13" s="17">
        <v>600</v>
      </c>
      <c r="P13" s="17">
        <v>600</v>
      </c>
      <c r="Q13" s="17"/>
      <c r="R13" s="17">
        <v>210</v>
      </c>
      <c r="S13" s="17">
        <v>210</v>
      </c>
      <c r="T13" s="17">
        <v>210</v>
      </c>
      <c r="U13" s="17">
        <f t="shared" ref="U13:W13" si="8">110*3</f>
        <v>330</v>
      </c>
      <c r="V13" s="17">
        <f t="shared" si="8"/>
        <v>330</v>
      </c>
      <c r="W13" s="17">
        <f t="shared" si="8"/>
        <v>330</v>
      </c>
      <c r="X13" s="17">
        <f t="shared" ref="X13:Z13" si="9">140*3</f>
        <v>420</v>
      </c>
      <c r="Y13" s="17">
        <f t="shared" si="9"/>
        <v>420</v>
      </c>
      <c r="Z13" s="17">
        <f t="shared" si="9"/>
        <v>420</v>
      </c>
      <c r="AA13" s="17">
        <f t="shared" ref="AA13:AD13" si="10">200*3</f>
        <v>600</v>
      </c>
      <c r="AB13" s="17">
        <f t="shared" si="10"/>
        <v>600</v>
      </c>
      <c r="AC13" s="17">
        <f t="shared" si="10"/>
        <v>600</v>
      </c>
      <c r="AD13" s="17">
        <f t="shared" si="10"/>
        <v>600</v>
      </c>
    </row>
    <row r="14" spans="1:30" x14ac:dyDescent="0.2">
      <c r="A14" s="1" t="s">
        <v>175</v>
      </c>
      <c r="B14" s="18">
        <f t="shared" ref="B14:D14" si="11">B10*0.8/(B13-5)</f>
        <v>1.6</v>
      </c>
      <c r="C14" s="18">
        <f t="shared" si="11"/>
        <v>2.4</v>
      </c>
      <c r="D14" s="18">
        <f t="shared" si="11"/>
        <v>3.2</v>
      </c>
      <c r="E14" s="18">
        <f>E10*0.8/(150)</f>
        <v>1.6</v>
      </c>
      <c r="F14" s="18">
        <f>F10*0.8/(200)</f>
        <v>1.6</v>
      </c>
      <c r="G14" s="18">
        <f>G10*0.8/(G13)</f>
        <v>1.9047619047619047</v>
      </c>
      <c r="H14" s="18">
        <f>H10*0.8/(250)</f>
        <v>1.6</v>
      </c>
      <c r="I14" s="18">
        <f>I10*0.8/(300)</f>
        <v>1.6</v>
      </c>
      <c r="J14" s="18">
        <f t="shared" ref="J14:M14" si="12">J10*0.8/J13</f>
        <v>1.9393939393939394</v>
      </c>
      <c r="K14" s="18">
        <f t="shared" si="12"/>
        <v>2.4242424242424243</v>
      </c>
      <c r="L14" s="18">
        <f t="shared" si="12"/>
        <v>1.5238095238095237</v>
      </c>
      <c r="M14" s="18">
        <f t="shared" si="12"/>
        <v>1.9047619047619047</v>
      </c>
      <c r="N14" s="18">
        <f>N10*0.8/450</f>
        <v>1.6</v>
      </c>
      <c r="O14" s="18">
        <f t="shared" ref="O14:P14" si="13">O10*0.8/O13</f>
        <v>1.6</v>
      </c>
      <c r="P14" s="18">
        <f t="shared" si="13"/>
        <v>2</v>
      </c>
      <c r="Q14" s="18"/>
      <c r="R14" s="18">
        <f>R10*0.8/(150)</f>
        <v>1.6</v>
      </c>
      <c r="S14" s="18">
        <f>S10*0.8/(200)</f>
        <v>1.6</v>
      </c>
      <c r="T14" s="18">
        <f>T10*0.8/T13</f>
        <v>1.9047619047619047</v>
      </c>
      <c r="U14" s="18">
        <f>U10*0.8/(250)</f>
        <v>1.6</v>
      </c>
      <c r="V14" s="18">
        <f>V10*0.8/(300)</f>
        <v>1.6</v>
      </c>
      <c r="W14" s="18">
        <f>W10*0.8/330</f>
        <v>1.9393939393939394</v>
      </c>
      <c r="X14" s="18">
        <f t="shared" ref="X14:AD14" si="14">X10*0.8/X13</f>
        <v>1.5238095238095237</v>
      </c>
      <c r="Y14" s="18">
        <f t="shared" si="14"/>
        <v>1.9047619047619047</v>
      </c>
      <c r="Z14" s="18">
        <f t="shared" si="14"/>
        <v>2.2857142857142856</v>
      </c>
      <c r="AA14" s="18">
        <f t="shared" si="14"/>
        <v>1.6</v>
      </c>
      <c r="AB14" s="18">
        <f t="shared" si="14"/>
        <v>2</v>
      </c>
      <c r="AC14" s="18">
        <f t="shared" si="14"/>
        <v>2.4</v>
      </c>
      <c r="AD14" s="18">
        <f t="shared" si="14"/>
        <v>2.6666666666666665</v>
      </c>
    </row>
    <row r="15" spans="1:30" x14ac:dyDescent="0.2">
      <c r="A15" s="1" t="s">
        <v>255</v>
      </c>
      <c r="B15" s="18">
        <f t="shared" ref="B15:P15" si="15">B10*0.95*0.96*B11/3000</f>
        <v>3.1129600000000002</v>
      </c>
      <c r="C15" s="18">
        <f t="shared" si="15"/>
        <v>4.6694399999999998</v>
      </c>
      <c r="D15" s="18">
        <f t="shared" si="15"/>
        <v>6.2259200000000003</v>
      </c>
      <c r="E15" s="18">
        <f t="shared" si="15"/>
        <v>4.6694399999999998</v>
      </c>
      <c r="F15" s="18">
        <f t="shared" si="15"/>
        <v>6.2259200000000003</v>
      </c>
      <c r="G15" s="18">
        <f t="shared" si="15"/>
        <v>7.7824</v>
      </c>
      <c r="H15" s="18">
        <f t="shared" si="15"/>
        <v>7.7824</v>
      </c>
      <c r="I15" s="18">
        <f t="shared" si="15"/>
        <v>9.3388799999999996</v>
      </c>
      <c r="J15" s="18">
        <f t="shared" si="15"/>
        <v>12.451840000000001</v>
      </c>
      <c r="K15" s="18">
        <f t="shared" si="15"/>
        <v>15.5648</v>
      </c>
      <c r="L15" s="18">
        <f t="shared" si="15"/>
        <v>12.451840000000001</v>
      </c>
      <c r="M15" s="18">
        <f t="shared" si="15"/>
        <v>15.5648</v>
      </c>
      <c r="N15" s="18">
        <f t="shared" si="15"/>
        <v>14.008319999999999</v>
      </c>
      <c r="O15" s="18">
        <f t="shared" si="15"/>
        <v>18.677759999999999</v>
      </c>
      <c r="P15" s="18">
        <f t="shared" si="15"/>
        <v>23.347200000000001</v>
      </c>
      <c r="Q15" s="18"/>
      <c r="R15" s="18">
        <f t="shared" ref="R15:AD15" si="16">R10*0.95*0.96*R11/3000</f>
        <v>4.6694399999999998</v>
      </c>
      <c r="S15" s="18">
        <f t="shared" si="16"/>
        <v>6.2259200000000003</v>
      </c>
      <c r="T15" s="18">
        <f t="shared" si="16"/>
        <v>7.7824</v>
      </c>
      <c r="U15" s="18">
        <f t="shared" si="16"/>
        <v>7.7824</v>
      </c>
      <c r="V15" s="18">
        <f t="shared" si="16"/>
        <v>9.3388799999999996</v>
      </c>
      <c r="W15" s="18">
        <f t="shared" si="16"/>
        <v>12.451840000000001</v>
      </c>
      <c r="X15" s="18">
        <f t="shared" si="16"/>
        <v>12.451840000000001</v>
      </c>
      <c r="Y15" s="18">
        <f t="shared" si="16"/>
        <v>15.5648</v>
      </c>
      <c r="Z15" s="18">
        <f t="shared" si="16"/>
        <v>18.677759999999999</v>
      </c>
      <c r="AA15" s="18">
        <f t="shared" si="16"/>
        <v>18.677759999999999</v>
      </c>
      <c r="AB15" s="18">
        <f t="shared" si="16"/>
        <v>23.347200000000001</v>
      </c>
      <c r="AC15" s="18">
        <f t="shared" si="16"/>
        <v>28.016639999999999</v>
      </c>
      <c r="AD15" s="18">
        <f t="shared" si="16"/>
        <v>31.1296</v>
      </c>
    </row>
    <row r="16" spans="1:30" x14ac:dyDescent="0.2">
      <c r="A16" s="1" t="s">
        <v>256</v>
      </c>
      <c r="B16" s="18">
        <f t="shared" ref="B16:P16" si="17">B10*0.95*0.95*B11/5000</f>
        <v>1.84832</v>
      </c>
      <c r="C16" s="18">
        <f t="shared" si="17"/>
        <v>2.7724800000000003</v>
      </c>
      <c r="D16" s="18">
        <f t="shared" si="17"/>
        <v>3.6966399999999999</v>
      </c>
      <c r="E16" s="18">
        <f t="shared" si="17"/>
        <v>2.7724800000000003</v>
      </c>
      <c r="F16" s="18">
        <f t="shared" si="17"/>
        <v>3.6966399999999999</v>
      </c>
      <c r="G16" s="18">
        <f t="shared" si="17"/>
        <v>4.6208</v>
      </c>
      <c r="H16" s="18">
        <f t="shared" si="17"/>
        <v>4.6208</v>
      </c>
      <c r="I16" s="18">
        <f t="shared" si="17"/>
        <v>5.5449600000000006</v>
      </c>
      <c r="J16" s="18">
        <f t="shared" si="17"/>
        <v>7.3932799999999999</v>
      </c>
      <c r="K16" s="18">
        <f t="shared" si="17"/>
        <v>9.2416</v>
      </c>
      <c r="L16" s="18">
        <f t="shared" si="17"/>
        <v>7.3932799999999999</v>
      </c>
      <c r="M16" s="18">
        <f t="shared" si="17"/>
        <v>9.2416</v>
      </c>
      <c r="N16" s="18">
        <f t="shared" si="17"/>
        <v>8.3174400000000013</v>
      </c>
      <c r="O16" s="18">
        <f t="shared" si="17"/>
        <v>11.089920000000001</v>
      </c>
      <c r="P16" s="18">
        <f t="shared" si="17"/>
        <v>13.862399999999999</v>
      </c>
      <c r="Q16" s="18"/>
      <c r="R16" s="18">
        <f t="shared" ref="R16:AD16" si="18">R10*0.95*0.95*R11/5000</f>
        <v>2.7724800000000003</v>
      </c>
      <c r="S16" s="18">
        <f t="shared" si="18"/>
        <v>3.6966399999999999</v>
      </c>
      <c r="T16" s="18">
        <f t="shared" si="18"/>
        <v>4.6208</v>
      </c>
      <c r="U16" s="18">
        <f t="shared" si="18"/>
        <v>4.6208</v>
      </c>
      <c r="V16" s="18">
        <f t="shared" si="18"/>
        <v>5.5449600000000006</v>
      </c>
      <c r="W16" s="18">
        <f t="shared" si="18"/>
        <v>7.3932799999999999</v>
      </c>
      <c r="X16" s="18">
        <f t="shared" si="18"/>
        <v>7.3932799999999999</v>
      </c>
      <c r="Y16" s="18">
        <f t="shared" si="18"/>
        <v>9.2416</v>
      </c>
      <c r="Z16" s="18">
        <f t="shared" si="18"/>
        <v>11.089920000000001</v>
      </c>
      <c r="AA16" s="18">
        <f t="shared" si="18"/>
        <v>11.089920000000001</v>
      </c>
      <c r="AB16" s="18">
        <f t="shared" si="18"/>
        <v>13.862399999999999</v>
      </c>
      <c r="AC16" s="18">
        <f t="shared" si="18"/>
        <v>16.634880000000003</v>
      </c>
      <c r="AD16" s="18">
        <f t="shared" si="18"/>
        <v>18.4832</v>
      </c>
    </row>
    <row r="17" spans="1:30" x14ac:dyDescent="0.2">
      <c r="A17" s="1" t="s">
        <v>257</v>
      </c>
      <c r="B17" s="18">
        <f t="shared" ref="B17:P17" si="19">B10*0.95*0.95*B11/7000</f>
        <v>1.3202285714285715</v>
      </c>
      <c r="C17" s="18">
        <f t="shared" si="19"/>
        <v>1.9803428571428574</v>
      </c>
      <c r="D17" s="18">
        <f t="shared" si="19"/>
        <v>2.6404571428571431</v>
      </c>
      <c r="E17" s="18">
        <f t="shared" si="19"/>
        <v>1.9803428571428574</v>
      </c>
      <c r="F17" s="18">
        <f t="shared" si="19"/>
        <v>2.6404571428571431</v>
      </c>
      <c r="G17" s="18">
        <f t="shared" si="19"/>
        <v>3.3005714285714287</v>
      </c>
      <c r="H17" s="18">
        <f t="shared" si="19"/>
        <v>3.3005714285714287</v>
      </c>
      <c r="I17" s="18">
        <f t="shared" si="19"/>
        <v>3.9606857142857148</v>
      </c>
      <c r="J17" s="18">
        <f t="shared" si="19"/>
        <v>5.2809142857142861</v>
      </c>
      <c r="K17" s="18">
        <f t="shared" si="19"/>
        <v>6.6011428571428574</v>
      </c>
      <c r="L17" s="18">
        <f t="shared" si="19"/>
        <v>5.2809142857142861</v>
      </c>
      <c r="M17" s="18">
        <f t="shared" si="19"/>
        <v>6.6011428571428574</v>
      </c>
      <c r="N17" s="18">
        <f t="shared" si="19"/>
        <v>5.9410285714285722</v>
      </c>
      <c r="O17" s="18">
        <f t="shared" si="19"/>
        <v>7.9213714285714296</v>
      </c>
      <c r="P17" s="18">
        <f t="shared" si="19"/>
        <v>9.9017142857142861</v>
      </c>
      <c r="Q17" s="18"/>
      <c r="R17" s="18">
        <f t="shared" ref="R17:AD17" si="20">R10*0.95*0.95*R11/7000</f>
        <v>1.9803428571428574</v>
      </c>
      <c r="S17" s="18">
        <f t="shared" si="20"/>
        <v>2.6404571428571431</v>
      </c>
      <c r="T17" s="18">
        <f t="shared" si="20"/>
        <v>3.3005714285714287</v>
      </c>
      <c r="U17" s="18">
        <f t="shared" si="20"/>
        <v>3.3005714285714287</v>
      </c>
      <c r="V17" s="18">
        <f t="shared" si="20"/>
        <v>3.9606857142857148</v>
      </c>
      <c r="W17" s="18">
        <f t="shared" si="20"/>
        <v>5.2809142857142861</v>
      </c>
      <c r="X17" s="18">
        <f t="shared" si="20"/>
        <v>5.2809142857142861</v>
      </c>
      <c r="Y17" s="18">
        <f t="shared" si="20"/>
        <v>6.6011428571428574</v>
      </c>
      <c r="Z17" s="18">
        <f t="shared" si="20"/>
        <v>7.9213714285714296</v>
      </c>
      <c r="AA17" s="18">
        <f t="shared" si="20"/>
        <v>7.9213714285714296</v>
      </c>
      <c r="AB17" s="18">
        <f t="shared" si="20"/>
        <v>9.9017142857142861</v>
      </c>
      <c r="AC17" s="18">
        <f t="shared" si="20"/>
        <v>11.882057142857144</v>
      </c>
      <c r="AD17" s="18">
        <f t="shared" si="20"/>
        <v>13.202285714285715</v>
      </c>
    </row>
    <row r="18" spans="1:30" x14ac:dyDescent="0.2">
      <c r="A18" s="1" t="s">
        <v>258</v>
      </c>
      <c r="B18" s="18"/>
      <c r="C18" s="18"/>
      <c r="D18" s="18"/>
      <c r="E18" s="18">
        <f t="shared" ref="E18:P18" si="21">E10*0.95*0.95*E11/10000</f>
        <v>1.3862400000000001</v>
      </c>
      <c r="F18" s="18">
        <f t="shared" si="21"/>
        <v>1.84832</v>
      </c>
      <c r="G18" s="18">
        <f t="shared" si="21"/>
        <v>2.3104</v>
      </c>
      <c r="H18" s="18">
        <f t="shared" si="21"/>
        <v>2.3104</v>
      </c>
      <c r="I18" s="18">
        <f t="shared" si="21"/>
        <v>2.7724800000000003</v>
      </c>
      <c r="J18" s="18">
        <f t="shared" si="21"/>
        <v>3.6966399999999999</v>
      </c>
      <c r="K18" s="18">
        <f t="shared" si="21"/>
        <v>4.6208</v>
      </c>
      <c r="L18" s="18">
        <f t="shared" si="21"/>
        <v>3.6966399999999999</v>
      </c>
      <c r="M18" s="18">
        <f t="shared" si="21"/>
        <v>4.6208</v>
      </c>
      <c r="N18" s="18">
        <f t="shared" si="21"/>
        <v>4.1587200000000006</v>
      </c>
      <c r="O18" s="18">
        <f t="shared" si="21"/>
        <v>5.5449600000000006</v>
      </c>
      <c r="P18" s="18">
        <f t="shared" si="21"/>
        <v>6.9311999999999996</v>
      </c>
      <c r="Q18" s="18"/>
      <c r="R18" s="18">
        <f t="shared" ref="R18:AD18" si="22">R10*0.95*0.95*R11/10000</f>
        <v>1.3862400000000001</v>
      </c>
      <c r="S18" s="18">
        <f t="shared" si="22"/>
        <v>1.84832</v>
      </c>
      <c r="T18" s="18">
        <f t="shared" si="22"/>
        <v>2.3104</v>
      </c>
      <c r="U18" s="18">
        <f t="shared" si="22"/>
        <v>2.3104</v>
      </c>
      <c r="V18" s="18">
        <f t="shared" si="22"/>
        <v>2.7724800000000003</v>
      </c>
      <c r="W18" s="18">
        <f t="shared" si="22"/>
        <v>3.6966399999999999</v>
      </c>
      <c r="X18" s="18">
        <f t="shared" si="22"/>
        <v>3.6966399999999999</v>
      </c>
      <c r="Y18" s="18">
        <f t="shared" si="22"/>
        <v>4.6208</v>
      </c>
      <c r="Z18" s="18">
        <f t="shared" si="22"/>
        <v>5.5449600000000006</v>
      </c>
      <c r="AA18" s="18">
        <f t="shared" si="22"/>
        <v>5.5449600000000006</v>
      </c>
      <c r="AB18" s="18">
        <f t="shared" si="22"/>
        <v>6.9311999999999996</v>
      </c>
      <c r="AC18" s="18">
        <f t="shared" si="22"/>
        <v>8.3174400000000013</v>
      </c>
      <c r="AD18" s="18">
        <f t="shared" si="22"/>
        <v>9.2416</v>
      </c>
    </row>
    <row r="19" spans="1:30" x14ac:dyDescent="0.2">
      <c r="A19" s="1" t="s">
        <v>259</v>
      </c>
      <c r="B19" s="18"/>
      <c r="C19" s="18"/>
      <c r="D19" s="18"/>
      <c r="E19" s="18">
        <f t="shared" ref="E19:P19" si="23">E10*0.95*0.95*E11/12000</f>
        <v>1.1552000000000002</v>
      </c>
      <c r="F19" s="18">
        <f t="shared" si="23"/>
        <v>1.5402666666666667</v>
      </c>
      <c r="G19" s="18">
        <f t="shared" si="23"/>
        <v>1.9253333333333333</v>
      </c>
      <c r="H19" s="18">
        <f t="shared" si="23"/>
        <v>1.9253333333333333</v>
      </c>
      <c r="I19" s="18">
        <f t="shared" si="23"/>
        <v>2.3104000000000005</v>
      </c>
      <c r="J19" s="18">
        <f t="shared" si="23"/>
        <v>3.0805333333333333</v>
      </c>
      <c r="K19" s="18">
        <f t="shared" si="23"/>
        <v>3.8506666666666667</v>
      </c>
      <c r="L19" s="18">
        <f t="shared" si="23"/>
        <v>3.0805333333333333</v>
      </c>
      <c r="M19" s="18">
        <f t="shared" si="23"/>
        <v>3.8506666666666667</v>
      </c>
      <c r="N19" s="18">
        <f t="shared" si="23"/>
        <v>3.4656000000000002</v>
      </c>
      <c r="O19" s="18">
        <f t="shared" si="23"/>
        <v>4.6208000000000009</v>
      </c>
      <c r="P19" s="18">
        <f t="shared" si="23"/>
        <v>5.7759999999999998</v>
      </c>
      <c r="Q19" s="18"/>
      <c r="R19" s="18">
        <f t="shared" ref="R19:AD19" si="24">R10*0.95*0.95*R11/12000</f>
        <v>1.1552000000000002</v>
      </c>
      <c r="S19" s="18">
        <f t="shared" si="24"/>
        <v>1.5402666666666667</v>
      </c>
      <c r="T19" s="18">
        <f t="shared" si="24"/>
        <v>1.9253333333333333</v>
      </c>
      <c r="U19" s="18">
        <f t="shared" si="24"/>
        <v>1.9253333333333333</v>
      </c>
      <c r="V19" s="18">
        <f t="shared" si="24"/>
        <v>2.3104000000000005</v>
      </c>
      <c r="W19" s="18">
        <f t="shared" si="24"/>
        <v>3.0805333333333333</v>
      </c>
      <c r="X19" s="18">
        <f t="shared" si="24"/>
        <v>3.0805333333333333</v>
      </c>
      <c r="Y19" s="18">
        <f t="shared" si="24"/>
        <v>3.8506666666666667</v>
      </c>
      <c r="Z19" s="18">
        <f t="shared" si="24"/>
        <v>4.6208000000000009</v>
      </c>
      <c r="AA19" s="18">
        <f t="shared" si="24"/>
        <v>4.6208000000000009</v>
      </c>
      <c r="AB19" s="18">
        <f t="shared" si="24"/>
        <v>5.7759999999999998</v>
      </c>
      <c r="AC19" s="18">
        <f t="shared" si="24"/>
        <v>6.9312000000000005</v>
      </c>
      <c r="AD19" s="18">
        <f t="shared" si="24"/>
        <v>7.7013333333333334</v>
      </c>
    </row>
    <row r="20" spans="1:30" x14ac:dyDescent="0.2">
      <c r="A20" s="1" t="s">
        <v>260</v>
      </c>
      <c r="B20" s="18"/>
      <c r="C20" s="18"/>
      <c r="D20" s="18"/>
      <c r="E20" s="18"/>
      <c r="F20" s="18"/>
      <c r="G20" s="18"/>
      <c r="H20" s="18">
        <f t="shared" ref="H20:P20" si="25">H10*0.95*0.95*H11/15000</f>
        <v>1.5402666666666667</v>
      </c>
      <c r="I20" s="18">
        <f t="shared" si="25"/>
        <v>1.8483200000000002</v>
      </c>
      <c r="J20" s="18">
        <f t="shared" si="25"/>
        <v>2.4644266666666668</v>
      </c>
      <c r="K20" s="18">
        <f t="shared" si="25"/>
        <v>3.0805333333333333</v>
      </c>
      <c r="L20" s="18">
        <f t="shared" si="25"/>
        <v>2.4644266666666668</v>
      </c>
      <c r="M20" s="18">
        <f t="shared" si="25"/>
        <v>3.0805333333333333</v>
      </c>
      <c r="N20" s="18">
        <f t="shared" si="25"/>
        <v>2.7724800000000003</v>
      </c>
      <c r="O20" s="18">
        <f t="shared" si="25"/>
        <v>3.6966400000000004</v>
      </c>
      <c r="P20" s="18">
        <f t="shared" si="25"/>
        <v>4.6208</v>
      </c>
      <c r="Q20" s="18"/>
      <c r="R20" s="18"/>
      <c r="S20" s="18"/>
      <c r="T20" s="18"/>
      <c r="U20" s="18">
        <f t="shared" ref="U20:AD20" si="26">U10*0.95*0.95*U11/15000</f>
        <v>1.5402666666666667</v>
      </c>
      <c r="V20" s="18">
        <f t="shared" si="26"/>
        <v>1.8483200000000002</v>
      </c>
      <c r="W20" s="18">
        <f t="shared" si="26"/>
        <v>2.4644266666666668</v>
      </c>
      <c r="X20" s="18">
        <f t="shared" si="26"/>
        <v>2.4644266666666668</v>
      </c>
      <c r="Y20" s="18">
        <f t="shared" si="26"/>
        <v>3.0805333333333333</v>
      </c>
      <c r="Z20" s="18">
        <f t="shared" si="26"/>
        <v>3.6966400000000004</v>
      </c>
      <c r="AA20" s="18">
        <f t="shared" si="26"/>
        <v>3.6966400000000004</v>
      </c>
      <c r="AB20" s="18">
        <f t="shared" si="26"/>
        <v>4.6208</v>
      </c>
      <c r="AC20" s="18">
        <f t="shared" si="26"/>
        <v>5.5449600000000006</v>
      </c>
      <c r="AD20" s="18">
        <f t="shared" si="26"/>
        <v>6.1610666666666667</v>
      </c>
    </row>
    <row r="21" spans="1:30" x14ac:dyDescent="0.2">
      <c r="A21" s="1" t="s">
        <v>261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>
        <f t="shared" ref="L21:P21" si="27">L10*0.95*0.95*L11/20000</f>
        <v>1.84832</v>
      </c>
      <c r="M21" s="18">
        <f t="shared" si="27"/>
        <v>2.3104</v>
      </c>
      <c r="N21" s="18">
        <f t="shared" si="27"/>
        <v>2.0793600000000003</v>
      </c>
      <c r="O21" s="18">
        <f t="shared" si="27"/>
        <v>2.7724800000000003</v>
      </c>
      <c r="P21" s="18">
        <f t="shared" si="27"/>
        <v>3.4655999999999998</v>
      </c>
      <c r="Q21" s="18"/>
      <c r="R21" s="18"/>
      <c r="S21" s="18"/>
      <c r="T21" s="18"/>
      <c r="U21" s="18"/>
      <c r="V21" s="18"/>
      <c r="W21" s="18"/>
      <c r="X21" s="18">
        <f t="shared" ref="X21:AD21" si="28">X10*0.95*0.95*X11/20000</f>
        <v>1.84832</v>
      </c>
      <c r="Y21" s="18">
        <f t="shared" si="28"/>
        <v>2.3104</v>
      </c>
      <c r="Z21" s="18">
        <f t="shared" si="28"/>
        <v>2.7724800000000003</v>
      </c>
      <c r="AA21" s="18">
        <f t="shared" si="28"/>
        <v>2.7724800000000003</v>
      </c>
      <c r="AB21" s="18">
        <f t="shared" si="28"/>
        <v>3.4655999999999998</v>
      </c>
      <c r="AC21" s="18">
        <f t="shared" si="28"/>
        <v>4.1587200000000006</v>
      </c>
      <c r="AD21" s="18">
        <f t="shared" si="28"/>
        <v>4.6208</v>
      </c>
    </row>
    <row r="22" spans="1:30" x14ac:dyDescent="0.2">
      <c r="A22" s="1" t="s">
        <v>262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f t="shared" ref="N22:P22" si="29">N10*0.95*0.95*N11/30000</f>
        <v>1.3862400000000001</v>
      </c>
      <c r="O22" s="18">
        <f t="shared" si="29"/>
        <v>1.8483200000000002</v>
      </c>
      <c r="P22" s="18">
        <f t="shared" si="29"/>
        <v>2.3104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>
        <f t="shared" ref="AA22:AD22" si="30">AA10*0.95*0.95*AA11/30000</f>
        <v>1.8483200000000002</v>
      </c>
      <c r="AB22" s="18">
        <f t="shared" si="30"/>
        <v>2.3104</v>
      </c>
      <c r="AC22" s="18">
        <f t="shared" si="30"/>
        <v>2.7724800000000003</v>
      </c>
      <c r="AD22" s="18">
        <f t="shared" si="30"/>
        <v>3.0805333333333333</v>
      </c>
    </row>
    <row r="23" spans="1:30" x14ac:dyDescent="0.2">
      <c r="A23" s="1" t="s">
        <v>184</v>
      </c>
      <c r="B23" s="17">
        <v>6000</v>
      </c>
      <c r="C23" s="17">
        <v>6000</v>
      </c>
      <c r="D23" s="17">
        <v>6000</v>
      </c>
      <c r="E23" s="17">
        <v>6000</v>
      </c>
      <c r="F23" s="17">
        <v>6000</v>
      </c>
      <c r="G23" s="17">
        <v>6000</v>
      </c>
      <c r="H23" s="17">
        <v>6000</v>
      </c>
      <c r="I23" s="17">
        <v>6000</v>
      </c>
      <c r="J23" s="17">
        <v>6000</v>
      </c>
      <c r="K23" s="17">
        <v>6000</v>
      </c>
      <c r="L23" s="17">
        <v>6000</v>
      </c>
      <c r="M23" s="17">
        <v>6000</v>
      </c>
      <c r="N23" s="17">
        <v>6000</v>
      </c>
      <c r="O23" s="17">
        <v>6000</v>
      </c>
      <c r="P23" s="17">
        <v>6000</v>
      </c>
      <c r="Q23" s="17"/>
      <c r="R23" s="17">
        <v>6000</v>
      </c>
      <c r="S23" s="17">
        <v>6000</v>
      </c>
      <c r="T23" s="17">
        <v>6000</v>
      </c>
      <c r="U23" s="17">
        <v>6000</v>
      </c>
      <c r="V23" s="17">
        <v>6000</v>
      </c>
      <c r="W23" s="17">
        <v>6000</v>
      </c>
      <c r="X23" s="17">
        <v>6000</v>
      </c>
      <c r="Y23" s="17">
        <v>6000</v>
      </c>
      <c r="Z23" s="17">
        <v>6000</v>
      </c>
      <c r="AA23" s="17">
        <v>6000</v>
      </c>
      <c r="AB23" s="17">
        <v>6000</v>
      </c>
      <c r="AC23" s="17">
        <v>6000</v>
      </c>
      <c r="AD23" s="17">
        <v>6000</v>
      </c>
    </row>
    <row r="24" spans="1:30" x14ac:dyDescent="0.2">
      <c r="A24" s="1" t="s">
        <v>185</v>
      </c>
      <c r="B24" s="17">
        <v>15</v>
      </c>
      <c r="C24" s="17">
        <v>15</v>
      </c>
      <c r="D24" s="17">
        <v>15</v>
      </c>
      <c r="E24" s="17">
        <v>15</v>
      </c>
      <c r="F24" s="17">
        <v>15</v>
      </c>
      <c r="G24" s="17">
        <v>15</v>
      </c>
      <c r="H24" s="17">
        <v>15</v>
      </c>
      <c r="I24" s="17">
        <v>15</v>
      </c>
      <c r="J24" s="17">
        <v>15</v>
      </c>
      <c r="K24" s="17">
        <v>15</v>
      </c>
      <c r="L24" s="17">
        <v>15</v>
      </c>
      <c r="M24" s="17">
        <v>15</v>
      </c>
      <c r="N24" s="17">
        <v>15</v>
      </c>
      <c r="O24" s="17">
        <v>15</v>
      </c>
      <c r="P24" s="17">
        <v>15</v>
      </c>
      <c r="Q24" s="17"/>
      <c r="R24" s="17">
        <v>15</v>
      </c>
      <c r="S24" s="17">
        <v>15</v>
      </c>
      <c r="T24" s="17">
        <v>15</v>
      </c>
      <c r="U24" s="17">
        <v>15</v>
      </c>
      <c r="V24" s="17">
        <v>15</v>
      </c>
      <c r="W24" s="17">
        <v>15</v>
      </c>
      <c r="X24" s="17">
        <v>15</v>
      </c>
      <c r="Y24" s="17">
        <v>15</v>
      </c>
      <c r="Z24" s="17">
        <v>15</v>
      </c>
      <c r="AA24" s="17">
        <v>15</v>
      </c>
      <c r="AB24" s="17">
        <v>15</v>
      </c>
      <c r="AC24" s="17">
        <v>15</v>
      </c>
      <c r="AD24" s="17">
        <v>15</v>
      </c>
    </row>
    <row r="25" spans="1:30" x14ac:dyDescent="0.2">
      <c r="A25" s="1" t="s">
        <v>186</v>
      </c>
      <c r="B25" s="17" t="s">
        <v>187</v>
      </c>
      <c r="C25" s="17" t="s">
        <v>187</v>
      </c>
      <c r="D25" s="17" t="s">
        <v>187</v>
      </c>
      <c r="E25" s="17" t="s">
        <v>187</v>
      </c>
      <c r="F25" s="17" t="s">
        <v>187</v>
      </c>
      <c r="G25" s="17" t="s">
        <v>187</v>
      </c>
      <c r="H25" s="17" t="s">
        <v>187</v>
      </c>
      <c r="I25" s="17" t="s">
        <v>187</v>
      </c>
      <c r="J25" s="17" t="s">
        <v>187</v>
      </c>
      <c r="K25" s="17" t="s">
        <v>187</v>
      </c>
      <c r="L25" s="17" t="s">
        <v>187</v>
      </c>
      <c r="M25" s="17" t="s">
        <v>187</v>
      </c>
      <c r="N25" s="17" t="s">
        <v>187</v>
      </c>
      <c r="O25" s="17" t="s">
        <v>187</v>
      </c>
      <c r="P25" s="17" t="s">
        <v>187</v>
      </c>
      <c r="Q25" s="17"/>
      <c r="R25" s="17" t="s">
        <v>187</v>
      </c>
      <c r="S25" s="17" t="s">
        <v>187</v>
      </c>
      <c r="T25" s="17" t="s">
        <v>187</v>
      </c>
      <c r="U25" s="17" t="s">
        <v>187</v>
      </c>
      <c r="V25" s="17" t="s">
        <v>187</v>
      </c>
      <c r="W25" s="17" t="s">
        <v>187</v>
      </c>
      <c r="X25" s="17" t="s">
        <v>187</v>
      </c>
      <c r="Y25" s="17" t="s">
        <v>187</v>
      </c>
      <c r="Z25" s="17" t="s">
        <v>187</v>
      </c>
      <c r="AA25" s="17" t="s">
        <v>187</v>
      </c>
      <c r="AB25" s="17" t="s">
        <v>187</v>
      </c>
      <c r="AC25" s="17" t="s">
        <v>187</v>
      </c>
      <c r="AD25" s="17" t="s">
        <v>187</v>
      </c>
    </row>
    <row r="26" spans="1:30" x14ac:dyDescent="0.2">
      <c r="A26" s="1" t="s">
        <v>188</v>
      </c>
      <c r="B26" s="17" t="s">
        <v>187</v>
      </c>
      <c r="C26" s="17" t="s">
        <v>187</v>
      </c>
      <c r="D26" s="17" t="s">
        <v>187</v>
      </c>
      <c r="E26" s="17" t="s">
        <v>187</v>
      </c>
      <c r="F26" s="17" t="s">
        <v>187</v>
      </c>
      <c r="G26" s="17" t="s">
        <v>187</v>
      </c>
      <c r="H26" s="17" t="s">
        <v>187</v>
      </c>
      <c r="I26" s="17" t="s">
        <v>187</v>
      </c>
      <c r="J26" s="17" t="s">
        <v>187</v>
      </c>
      <c r="K26" s="17" t="s">
        <v>187</v>
      </c>
      <c r="L26" s="17" t="s">
        <v>187</v>
      </c>
      <c r="M26" s="17" t="s">
        <v>187</v>
      </c>
      <c r="N26" s="17" t="s">
        <v>187</v>
      </c>
      <c r="O26" s="17" t="s">
        <v>187</v>
      </c>
      <c r="P26" s="17" t="s">
        <v>187</v>
      </c>
      <c r="Q26" s="17"/>
      <c r="R26" s="17" t="s">
        <v>187</v>
      </c>
      <c r="S26" s="17" t="s">
        <v>187</v>
      </c>
      <c r="T26" s="17" t="s">
        <v>187</v>
      </c>
      <c r="U26" s="17" t="s">
        <v>187</v>
      </c>
      <c r="V26" s="17" t="s">
        <v>187</v>
      </c>
      <c r="W26" s="17" t="s">
        <v>187</v>
      </c>
      <c r="X26" s="17" t="s">
        <v>187</v>
      </c>
      <c r="Y26" s="17" t="s">
        <v>187</v>
      </c>
      <c r="Z26" s="17" t="s">
        <v>187</v>
      </c>
      <c r="AA26" s="17" t="s">
        <v>187</v>
      </c>
      <c r="AB26" s="17" t="s">
        <v>187</v>
      </c>
      <c r="AC26" s="17" t="s">
        <v>187</v>
      </c>
      <c r="AD26" s="17" t="s">
        <v>187</v>
      </c>
    </row>
    <row r="27" spans="1:30" x14ac:dyDescent="0.2">
      <c r="A27" s="1" t="s">
        <v>189</v>
      </c>
      <c r="B27" s="17" t="s">
        <v>190</v>
      </c>
      <c r="C27" s="17" t="s">
        <v>190</v>
      </c>
      <c r="D27" s="17" t="s">
        <v>190</v>
      </c>
      <c r="E27" s="17" t="s">
        <v>190</v>
      </c>
      <c r="F27" s="17" t="s">
        <v>190</v>
      </c>
      <c r="G27" s="17" t="s">
        <v>190</v>
      </c>
      <c r="H27" s="17" t="s">
        <v>190</v>
      </c>
      <c r="I27" s="17" t="s">
        <v>190</v>
      </c>
      <c r="J27" s="17" t="s">
        <v>190</v>
      </c>
      <c r="K27" s="17" t="s">
        <v>190</v>
      </c>
      <c r="L27" s="17" t="s">
        <v>190</v>
      </c>
      <c r="M27" s="17" t="s">
        <v>190</v>
      </c>
      <c r="N27" s="17" t="s">
        <v>190</v>
      </c>
      <c r="O27" s="17" t="s">
        <v>190</v>
      </c>
      <c r="P27" s="17" t="s">
        <v>190</v>
      </c>
      <c r="Q27" s="17"/>
      <c r="R27" s="17" t="s">
        <v>191</v>
      </c>
      <c r="S27" s="17" t="s">
        <v>191</v>
      </c>
      <c r="T27" s="17" t="s">
        <v>191</v>
      </c>
      <c r="U27" s="17" t="s">
        <v>191</v>
      </c>
      <c r="V27" s="17" t="s">
        <v>191</v>
      </c>
      <c r="W27" s="17" t="s">
        <v>191</v>
      </c>
      <c r="X27" s="17" t="s">
        <v>191</v>
      </c>
      <c r="Y27" s="17" t="s">
        <v>191</v>
      </c>
      <c r="Z27" s="17" t="s">
        <v>191</v>
      </c>
      <c r="AA27" s="17" t="s">
        <v>191</v>
      </c>
      <c r="AB27" s="17" t="s">
        <v>191</v>
      </c>
      <c r="AC27" s="17" t="s">
        <v>191</v>
      </c>
      <c r="AD27" s="17" t="s">
        <v>191</v>
      </c>
    </row>
    <row r="28" spans="1:30" x14ac:dyDescent="0.2">
      <c r="A28" s="1" t="s">
        <v>192</v>
      </c>
      <c r="B28" s="17" t="s">
        <v>187</v>
      </c>
      <c r="C28" s="17" t="s">
        <v>187</v>
      </c>
      <c r="D28" s="17" t="s">
        <v>187</v>
      </c>
      <c r="E28" s="17" t="s">
        <v>187</v>
      </c>
      <c r="F28" s="17" t="s">
        <v>187</v>
      </c>
      <c r="G28" s="17" t="s">
        <v>187</v>
      </c>
      <c r="H28" s="17" t="s">
        <v>187</v>
      </c>
      <c r="I28" s="17" t="s">
        <v>187</v>
      </c>
      <c r="J28" s="17" t="s">
        <v>187</v>
      </c>
      <c r="K28" s="17" t="s">
        <v>187</v>
      </c>
      <c r="L28" s="17" t="s">
        <v>187</v>
      </c>
      <c r="M28" s="17" t="s">
        <v>187</v>
      </c>
      <c r="N28" s="17" t="s">
        <v>187</v>
      </c>
      <c r="O28" s="17" t="s">
        <v>187</v>
      </c>
      <c r="P28" s="17" t="s">
        <v>187</v>
      </c>
      <c r="Q28" s="17"/>
      <c r="R28" s="17" t="s">
        <v>187</v>
      </c>
      <c r="S28" s="17" t="s">
        <v>187</v>
      </c>
      <c r="T28" s="17" t="s">
        <v>187</v>
      </c>
      <c r="U28" s="17" t="s">
        <v>187</v>
      </c>
      <c r="V28" s="17" t="s">
        <v>187</v>
      </c>
      <c r="W28" s="17" t="s">
        <v>187</v>
      </c>
      <c r="X28" s="17" t="s">
        <v>187</v>
      </c>
      <c r="Y28" s="17" t="s">
        <v>187</v>
      </c>
      <c r="Z28" s="17" t="s">
        <v>187</v>
      </c>
      <c r="AA28" s="17" t="s">
        <v>187</v>
      </c>
      <c r="AB28" s="17" t="s">
        <v>187</v>
      </c>
      <c r="AC28" s="17" t="s">
        <v>187</v>
      </c>
      <c r="AD28" s="17" t="s">
        <v>187</v>
      </c>
    </row>
    <row r="29" spans="1:30" x14ac:dyDescent="0.2">
      <c r="A29" s="1" t="s">
        <v>194</v>
      </c>
      <c r="B29" s="17" t="s">
        <v>187</v>
      </c>
      <c r="C29" s="17" t="s">
        <v>187</v>
      </c>
      <c r="D29" s="17" t="s">
        <v>187</v>
      </c>
      <c r="E29" s="17" t="s">
        <v>187</v>
      </c>
      <c r="F29" s="17" t="s">
        <v>187</v>
      </c>
      <c r="G29" s="17" t="s">
        <v>187</v>
      </c>
      <c r="H29" s="17" t="s">
        <v>187</v>
      </c>
      <c r="I29" s="17" t="s">
        <v>187</v>
      </c>
      <c r="J29" s="17" t="s">
        <v>187</v>
      </c>
      <c r="K29" s="17" t="s">
        <v>187</v>
      </c>
      <c r="L29" s="17" t="s">
        <v>187</v>
      </c>
      <c r="M29" s="17" t="s">
        <v>187</v>
      </c>
      <c r="N29" s="17" t="s">
        <v>187</v>
      </c>
      <c r="O29" s="17" t="s">
        <v>187</v>
      </c>
      <c r="P29" s="17" t="s">
        <v>187</v>
      </c>
      <c r="Q29" s="17"/>
      <c r="R29" s="17" t="s">
        <v>187</v>
      </c>
      <c r="S29" s="17" t="s">
        <v>187</v>
      </c>
      <c r="T29" s="17" t="s">
        <v>187</v>
      </c>
      <c r="U29" s="17" t="s">
        <v>187</v>
      </c>
      <c r="V29" s="17" t="s">
        <v>187</v>
      </c>
      <c r="W29" s="17" t="s">
        <v>187</v>
      </c>
      <c r="X29" s="17" t="s">
        <v>187</v>
      </c>
      <c r="Y29" s="17" t="s">
        <v>187</v>
      </c>
      <c r="Z29" s="17" t="s">
        <v>187</v>
      </c>
      <c r="AA29" s="17" t="s">
        <v>187</v>
      </c>
      <c r="AB29" s="17" t="s">
        <v>187</v>
      </c>
      <c r="AC29" s="17" t="s">
        <v>187</v>
      </c>
      <c r="AD29" s="17" t="s">
        <v>187</v>
      </c>
    </row>
    <row r="30" spans="1:30" x14ac:dyDescent="0.2">
      <c r="A30" s="1" t="s">
        <v>195</v>
      </c>
      <c r="B30" s="17" t="s">
        <v>187</v>
      </c>
      <c r="C30" s="17" t="s">
        <v>187</v>
      </c>
      <c r="D30" s="17" t="s">
        <v>187</v>
      </c>
      <c r="E30" s="17" t="s">
        <v>187</v>
      </c>
      <c r="F30" s="17" t="s">
        <v>187</v>
      </c>
      <c r="G30" s="17" t="s">
        <v>187</v>
      </c>
      <c r="H30" s="17" t="s">
        <v>187</v>
      </c>
      <c r="I30" s="17" t="s">
        <v>187</v>
      </c>
      <c r="J30" s="17" t="s">
        <v>187</v>
      </c>
      <c r="K30" s="17" t="s">
        <v>187</v>
      </c>
      <c r="L30" s="17" t="s">
        <v>187</v>
      </c>
      <c r="M30" s="17" t="s">
        <v>187</v>
      </c>
      <c r="N30" s="17" t="s">
        <v>187</v>
      </c>
      <c r="O30" s="17" t="s">
        <v>187</v>
      </c>
      <c r="P30" s="17" t="s">
        <v>187</v>
      </c>
      <c r="Q30" s="17"/>
      <c r="R30" s="17" t="s">
        <v>187</v>
      </c>
      <c r="S30" s="17" t="s">
        <v>187</v>
      </c>
      <c r="T30" s="17" t="s">
        <v>187</v>
      </c>
      <c r="U30" s="17" t="s">
        <v>187</v>
      </c>
      <c r="V30" s="17" t="s">
        <v>187</v>
      </c>
      <c r="W30" s="17" t="s">
        <v>187</v>
      </c>
      <c r="X30" s="17" t="s">
        <v>187</v>
      </c>
      <c r="Y30" s="17" t="s">
        <v>187</v>
      </c>
      <c r="Z30" s="17" t="s">
        <v>187</v>
      </c>
      <c r="AA30" s="17" t="s">
        <v>187</v>
      </c>
      <c r="AB30" s="17" t="s">
        <v>187</v>
      </c>
      <c r="AC30" s="17" t="s">
        <v>187</v>
      </c>
      <c r="AD30" s="17" t="s">
        <v>187</v>
      </c>
    </row>
    <row r="31" spans="1:30" x14ac:dyDescent="0.2">
      <c r="A31" s="1" t="s">
        <v>196</v>
      </c>
      <c r="B31" s="17" t="s">
        <v>187</v>
      </c>
      <c r="C31" s="17" t="s">
        <v>187</v>
      </c>
      <c r="D31" s="17" t="s">
        <v>187</v>
      </c>
      <c r="E31" s="17" t="s">
        <v>187</v>
      </c>
      <c r="F31" s="17" t="s">
        <v>187</v>
      </c>
      <c r="G31" s="17" t="s">
        <v>187</v>
      </c>
      <c r="H31" s="17" t="s">
        <v>187</v>
      </c>
      <c r="I31" s="17" t="s">
        <v>187</v>
      </c>
      <c r="J31" s="17" t="s">
        <v>187</v>
      </c>
      <c r="K31" s="17" t="s">
        <v>187</v>
      </c>
      <c r="L31" s="17" t="s">
        <v>187</v>
      </c>
      <c r="M31" s="17" t="s">
        <v>187</v>
      </c>
      <c r="N31" s="17" t="s">
        <v>187</v>
      </c>
      <c r="O31" s="17" t="s">
        <v>187</v>
      </c>
      <c r="P31" s="17" t="s">
        <v>187</v>
      </c>
      <c r="Q31" s="17"/>
      <c r="R31" s="17" t="s">
        <v>187</v>
      </c>
      <c r="S31" s="17" t="s">
        <v>187</v>
      </c>
      <c r="T31" s="17" t="s">
        <v>187</v>
      </c>
      <c r="U31" s="17" t="s">
        <v>187</v>
      </c>
      <c r="V31" s="17" t="s">
        <v>187</v>
      </c>
      <c r="W31" s="17" t="s">
        <v>187</v>
      </c>
      <c r="X31" s="17" t="s">
        <v>187</v>
      </c>
      <c r="Y31" s="17" t="s">
        <v>187</v>
      </c>
      <c r="Z31" s="17" t="s">
        <v>187</v>
      </c>
      <c r="AA31" s="17" t="s">
        <v>187</v>
      </c>
      <c r="AB31" s="17" t="s">
        <v>187</v>
      </c>
      <c r="AC31" s="17" t="s">
        <v>187</v>
      </c>
      <c r="AD31" s="17" t="s">
        <v>187</v>
      </c>
    </row>
    <row r="32" spans="1:30" x14ac:dyDescent="0.2">
      <c r="A32" s="1" t="s">
        <v>197</v>
      </c>
      <c r="B32" s="17" t="s">
        <v>198</v>
      </c>
      <c r="C32" s="17" t="s">
        <v>198</v>
      </c>
      <c r="D32" s="17" t="s">
        <v>198</v>
      </c>
      <c r="E32" s="17" t="s">
        <v>198</v>
      </c>
      <c r="F32" s="17" t="s">
        <v>198</v>
      </c>
      <c r="G32" s="17" t="s">
        <v>198</v>
      </c>
      <c r="H32" s="17" t="s">
        <v>198</v>
      </c>
      <c r="I32" s="17" t="s">
        <v>198</v>
      </c>
      <c r="J32" s="17" t="s">
        <v>198</v>
      </c>
      <c r="K32" s="17" t="s">
        <v>198</v>
      </c>
      <c r="L32" s="17" t="s">
        <v>198</v>
      </c>
      <c r="M32" s="17" t="s">
        <v>198</v>
      </c>
      <c r="N32" s="17" t="s">
        <v>198</v>
      </c>
      <c r="O32" s="17" t="s">
        <v>198</v>
      </c>
      <c r="P32" s="17" t="s">
        <v>198</v>
      </c>
      <c r="Q32" s="17"/>
      <c r="R32" s="17" t="s">
        <v>198</v>
      </c>
      <c r="S32" s="17" t="s">
        <v>198</v>
      </c>
      <c r="T32" s="17" t="s">
        <v>198</v>
      </c>
      <c r="U32" s="17" t="s">
        <v>198</v>
      </c>
      <c r="V32" s="17" t="s">
        <v>198</v>
      </c>
      <c r="W32" s="17" t="s">
        <v>198</v>
      </c>
      <c r="X32" s="17" t="s">
        <v>198</v>
      </c>
      <c r="Y32" s="17" t="s">
        <v>198</v>
      </c>
      <c r="Z32" s="17" t="s">
        <v>198</v>
      </c>
      <c r="AA32" s="17" t="s">
        <v>198</v>
      </c>
      <c r="AB32" s="17" t="s">
        <v>198</v>
      </c>
      <c r="AC32" s="17" t="s">
        <v>198</v>
      </c>
      <c r="AD32" s="17" t="s">
        <v>198</v>
      </c>
    </row>
    <row r="33" spans="1:30" x14ac:dyDescent="0.2">
      <c r="A33" s="1" t="s">
        <v>199</v>
      </c>
      <c r="B33" s="17">
        <v>96</v>
      </c>
      <c r="C33" s="17">
        <v>96</v>
      </c>
      <c r="D33" s="17">
        <v>96</v>
      </c>
      <c r="E33" s="17">
        <v>96</v>
      </c>
      <c r="F33" s="17">
        <v>96</v>
      </c>
      <c r="G33" s="17">
        <v>96</v>
      </c>
      <c r="H33" s="17">
        <v>96</v>
      </c>
      <c r="I33" s="17">
        <v>96</v>
      </c>
      <c r="J33" s="17">
        <v>96</v>
      </c>
      <c r="K33" s="17">
        <v>96</v>
      </c>
      <c r="L33" s="17">
        <v>96</v>
      </c>
      <c r="M33" s="17">
        <v>96</v>
      </c>
      <c r="N33" s="17">
        <v>96</v>
      </c>
      <c r="O33" s="17">
        <v>96</v>
      </c>
      <c r="P33" s="17">
        <v>96</v>
      </c>
      <c r="Q33" s="17"/>
      <c r="R33" s="17">
        <v>96</v>
      </c>
      <c r="S33" s="17">
        <v>96</v>
      </c>
      <c r="T33" s="17">
        <v>96</v>
      </c>
      <c r="U33" s="17">
        <v>96</v>
      </c>
      <c r="V33" s="17">
        <v>96</v>
      </c>
      <c r="W33" s="17">
        <v>96</v>
      </c>
      <c r="X33" s="17">
        <v>96</v>
      </c>
      <c r="Y33" s="17">
        <v>96</v>
      </c>
      <c r="Z33" s="17">
        <v>96</v>
      </c>
      <c r="AA33" s="17">
        <v>96</v>
      </c>
      <c r="AB33" s="17">
        <v>96</v>
      </c>
      <c r="AC33" s="17">
        <v>96</v>
      </c>
      <c r="AD33" s="17">
        <v>96</v>
      </c>
    </row>
    <row r="34" spans="1:30" x14ac:dyDescent="0.2">
      <c r="A34" s="1" t="s">
        <v>200</v>
      </c>
      <c r="B34" s="17" t="s">
        <v>187</v>
      </c>
      <c r="C34" s="17" t="s">
        <v>187</v>
      </c>
      <c r="D34" s="17" t="s">
        <v>187</v>
      </c>
      <c r="E34" s="17" t="s">
        <v>187</v>
      </c>
      <c r="F34" s="17" t="s">
        <v>187</v>
      </c>
      <c r="G34" s="17" t="s">
        <v>187</v>
      </c>
      <c r="H34" s="17" t="s">
        <v>187</v>
      </c>
      <c r="I34" s="17" t="s">
        <v>187</v>
      </c>
      <c r="J34" s="17" t="s">
        <v>187</v>
      </c>
      <c r="K34" s="17" t="s">
        <v>187</v>
      </c>
      <c r="L34" s="17" t="s">
        <v>187</v>
      </c>
      <c r="M34" s="17" t="s">
        <v>187</v>
      </c>
      <c r="N34" s="17" t="s">
        <v>187</v>
      </c>
      <c r="O34" s="17" t="s">
        <v>187</v>
      </c>
      <c r="P34" s="17" t="s">
        <v>187</v>
      </c>
      <c r="Q34" s="17"/>
      <c r="R34" s="17" t="s">
        <v>187</v>
      </c>
      <c r="S34" s="17" t="s">
        <v>187</v>
      </c>
      <c r="T34" s="17" t="s">
        <v>187</v>
      </c>
      <c r="U34" s="17" t="s">
        <v>187</v>
      </c>
      <c r="V34" s="17" t="s">
        <v>187</v>
      </c>
      <c r="W34" s="17" t="s">
        <v>187</v>
      </c>
      <c r="X34" s="17" t="s">
        <v>187</v>
      </c>
      <c r="Y34" s="17" t="s">
        <v>187</v>
      </c>
      <c r="Z34" s="17" t="s">
        <v>187</v>
      </c>
      <c r="AA34" s="17" t="s">
        <v>187</v>
      </c>
      <c r="AB34" s="17" t="s">
        <v>187</v>
      </c>
      <c r="AC34" s="17" t="s">
        <v>187</v>
      </c>
      <c r="AD34" s="17" t="s">
        <v>187</v>
      </c>
    </row>
    <row r="35" spans="1:30" x14ac:dyDescent="0.2">
      <c r="A35" s="1" t="s">
        <v>201</v>
      </c>
      <c r="B35" s="17" t="s">
        <v>202</v>
      </c>
      <c r="C35" s="17" t="s">
        <v>202</v>
      </c>
      <c r="D35" s="17" t="s">
        <v>202</v>
      </c>
      <c r="E35" s="17" t="s">
        <v>202</v>
      </c>
      <c r="F35" s="17" t="s">
        <v>202</v>
      </c>
      <c r="G35" s="17" t="s">
        <v>202</v>
      </c>
      <c r="H35" s="17" t="s">
        <v>202</v>
      </c>
      <c r="I35" s="17" t="s">
        <v>202</v>
      </c>
      <c r="J35" s="17" t="s">
        <v>202</v>
      </c>
      <c r="K35" s="17" t="s">
        <v>202</v>
      </c>
      <c r="L35" s="17" t="s">
        <v>202</v>
      </c>
      <c r="M35" s="17" t="s">
        <v>202</v>
      </c>
      <c r="N35" s="17" t="s">
        <v>202</v>
      </c>
      <c r="O35" s="17" t="s">
        <v>202</v>
      </c>
      <c r="P35" s="17" t="s">
        <v>202</v>
      </c>
      <c r="Q35" s="17"/>
      <c r="R35" s="17" t="s">
        <v>202</v>
      </c>
      <c r="S35" s="17" t="s">
        <v>202</v>
      </c>
      <c r="T35" s="17" t="s">
        <v>202</v>
      </c>
      <c r="U35" s="17" t="s">
        <v>202</v>
      </c>
      <c r="V35" s="17" t="s">
        <v>202</v>
      </c>
      <c r="W35" s="17" t="s">
        <v>202</v>
      </c>
      <c r="X35" s="17" t="s">
        <v>202</v>
      </c>
      <c r="Y35" s="17" t="s">
        <v>202</v>
      </c>
      <c r="Z35" s="17" t="s">
        <v>202</v>
      </c>
      <c r="AA35" s="17" t="s">
        <v>202</v>
      </c>
      <c r="AB35" s="17" t="s">
        <v>202</v>
      </c>
      <c r="AC35" s="17" t="s">
        <v>202</v>
      </c>
      <c r="AD35" s="17" t="s">
        <v>202</v>
      </c>
    </row>
    <row r="36" spans="1:30" x14ac:dyDescent="0.2">
      <c r="A36" s="1" t="s">
        <v>203</v>
      </c>
      <c r="B36" s="17">
        <f t="shared" ref="B36:P36" si="31">55</f>
        <v>55</v>
      </c>
      <c r="C36" s="17">
        <f t="shared" si="31"/>
        <v>55</v>
      </c>
      <c r="D36" s="17">
        <f t="shared" si="31"/>
        <v>55</v>
      </c>
      <c r="E36" s="17">
        <f t="shared" si="31"/>
        <v>55</v>
      </c>
      <c r="F36" s="17">
        <f t="shared" si="31"/>
        <v>55</v>
      </c>
      <c r="G36" s="17">
        <f t="shared" si="31"/>
        <v>55</v>
      </c>
      <c r="H36" s="17">
        <f t="shared" si="31"/>
        <v>55</v>
      </c>
      <c r="I36" s="17">
        <f t="shared" si="31"/>
        <v>55</v>
      </c>
      <c r="J36" s="17">
        <f t="shared" si="31"/>
        <v>55</v>
      </c>
      <c r="K36" s="17">
        <f t="shared" si="31"/>
        <v>55</v>
      </c>
      <c r="L36" s="17">
        <f t="shared" si="31"/>
        <v>55</v>
      </c>
      <c r="M36" s="17">
        <f t="shared" si="31"/>
        <v>55</v>
      </c>
      <c r="N36" s="17">
        <f t="shared" si="31"/>
        <v>55</v>
      </c>
      <c r="O36" s="17">
        <f t="shared" si="31"/>
        <v>55</v>
      </c>
      <c r="P36" s="17">
        <f t="shared" si="31"/>
        <v>55</v>
      </c>
      <c r="Q36" s="17"/>
      <c r="R36" s="17">
        <f t="shared" ref="R36:AD36" si="32">55</f>
        <v>55</v>
      </c>
      <c r="S36" s="17">
        <f t="shared" si="32"/>
        <v>55</v>
      </c>
      <c r="T36" s="17">
        <f t="shared" si="32"/>
        <v>55</v>
      </c>
      <c r="U36" s="17">
        <f t="shared" si="32"/>
        <v>55</v>
      </c>
      <c r="V36" s="17">
        <f t="shared" si="32"/>
        <v>55</v>
      </c>
      <c r="W36" s="17">
        <f t="shared" si="32"/>
        <v>55</v>
      </c>
      <c r="X36" s="17">
        <f t="shared" si="32"/>
        <v>55</v>
      </c>
      <c r="Y36" s="17">
        <f t="shared" si="32"/>
        <v>55</v>
      </c>
      <c r="Z36" s="17">
        <f t="shared" si="32"/>
        <v>55</v>
      </c>
      <c r="AA36" s="17">
        <f t="shared" si="32"/>
        <v>55</v>
      </c>
      <c r="AB36" s="17">
        <f t="shared" si="32"/>
        <v>55</v>
      </c>
      <c r="AC36" s="17">
        <f t="shared" si="32"/>
        <v>55</v>
      </c>
      <c r="AD36" s="17">
        <f t="shared" si="32"/>
        <v>55</v>
      </c>
    </row>
    <row r="37" spans="1:30" x14ac:dyDescent="0.2">
      <c r="A37" s="1" t="s">
        <v>204</v>
      </c>
      <c r="B37" s="17">
        <f t="shared" ref="B37:P37" si="33">5</f>
        <v>5</v>
      </c>
      <c r="C37" s="17">
        <f t="shared" si="33"/>
        <v>5</v>
      </c>
      <c r="D37" s="17">
        <f t="shared" si="33"/>
        <v>5</v>
      </c>
      <c r="E37" s="17">
        <f t="shared" si="33"/>
        <v>5</v>
      </c>
      <c r="F37" s="17">
        <f t="shared" si="33"/>
        <v>5</v>
      </c>
      <c r="G37" s="17">
        <f t="shared" si="33"/>
        <v>5</v>
      </c>
      <c r="H37" s="17">
        <f t="shared" si="33"/>
        <v>5</v>
      </c>
      <c r="I37" s="17">
        <f t="shared" si="33"/>
        <v>5</v>
      </c>
      <c r="J37" s="17">
        <f t="shared" si="33"/>
        <v>5</v>
      </c>
      <c r="K37" s="17">
        <f t="shared" si="33"/>
        <v>5</v>
      </c>
      <c r="L37" s="17">
        <f t="shared" si="33"/>
        <v>5</v>
      </c>
      <c r="M37" s="17">
        <f t="shared" si="33"/>
        <v>5</v>
      </c>
      <c r="N37" s="17">
        <f t="shared" si="33"/>
        <v>5</v>
      </c>
      <c r="O37" s="17">
        <f t="shared" si="33"/>
        <v>5</v>
      </c>
      <c r="P37" s="17">
        <f t="shared" si="33"/>
        <v>5</v>
      </c>
      <c r="Q37" s="17"/>
      <c r="R37" s="17">
        <f t="shared" ref="R37:AD37" si="34">5</f>
        <v>5</v>
      </c>
      <c r="S37" s="17">
        <f t="shared" si="34"/>
        <v>5</v>
      </c>
      <c r="T37" s="17">
        <f t="shared" si="34"/>
        <v>5</v>
      </c>
      <c r="U37" s="17">
        <f t="shared" si="34"/>
        <v>5</v>
      </c>
      <c r="V37" s="17">
        <f t="shared" si="34"/>
        <v>5</v>
      </c>
      <c r="W37" s="17">
        <f t="shared" si="34"/>
        <v>5</v>
      </c>
      <c r="X37" s="17">
        <f t="shared" si="34"/>
        <v>5</v>
      </c>
      <c r="Y37" s="17">
        <f t="shared" si="34"/>
        <v>5</v>
      </c>
      <c r="Z37" s="17">
        <f t="shared" si="34"/>
        <v>5</v>
      </c>
      <c r="AA37" s="17">
        <f t="shared" si="34"/>
        <v>5</v>
      </c>
      <c r="AB37" s="17">
        <f t="shared" si="34"/>
        <v>5</v>
      </c>
      <c r="AC37" s="17">
        <f t="shared" si="34"/>
        <v>5</v>
      </c>
      <c r="AD37" s="17">
        <f t="shared" si="34"/>
        <v>5</v>
      </c>
    </row>
    <row r="38" spans="1:30" x14ac:dyDescent="0.2">
      <c r="A38" s="1" t="s">
        <v>205</v>
      </c>
      <c r="B38" s="17">
        <v>55</v>
      </c>
      <c r="C38" s="17">
        <v>55</v>
      </c>
      <c r="D38" s="17">
        <v>55</v>
      </c>
      <c r="E38" s="17">
        <v>55</v>
      </c>
      <c r="F38" s="17">
        <v>55</v>
      </c>
      <c r="G38" s="17">
        <v>55</v>
      </c>
      <c r="H38" s="17">
        <v>55</v>
      </c>
      <c r="I38" s="17">
        <v>55</v>
      </c>
      <c r="J38" s="17">
        <v>55</v>
      </c>
      <c r="K38" s="17">
        <v>55</v>
      </c>
      <c r="L38" s="17">
        <v>55</v>
      </c>
      <c r="M38" s="17">
        <v>55</v>
      </c>
      <c r="N38" s="17">
        <v>55</v>
      </c>
      <c r="O38" s="17">
        <v>55</v>
      </c>
      <c r="P38" s="17">
        <v>55</v>
      </c>
      <c r="Q38" s="17"/>
      <c r="R38" s="17">
        <v>55</v>
      </c>
      <c r="S38" s="17">
        <v>55</v>
      </c>
      <c r="T38" s="17">
        <v>55</v>
      </c>
      <c r="U38" s="17">
        <v>55</v>
      </c>
      <c r="V38" s="17">
        <v>55</v>
      </c>
      <c r="W38" s="17">
        <v>55</v>
      </c>
      <c r="X38" s="17">
        <v>55</v>
      </c>
      <c r="Y38" s="17">
        <v>55</v>
      </c>
      <c r="Z38" s="17">
        <v>55</v>
      </c>
      <c r="AA38" s="17">
        <v>55</v>
      </c>
      <c r="AB38" s="17">
        <v>55</v>
      </c>
      <c r="AC38" s="17">
        <v>55</v>
      </c>
      <c r="AD38" s="17">
        <v>55</v>
      </c>
    </row>
    <row r="39" spans="1:30" x14ac:dyDescent="0.2">
      <c r="A39" s="1" t="s">
        <v>206</v>
      </c>
      <c r="B39" s="17" t="s">
        <v>207</v>
      </c>
      <c r="C39" s="17" t="s">
        <v>207</v>
      </c>
      <c r="D39" s="17" t="s">
        <v>207</v>
      </c>
      <c r="E39" s="17" t="s">
        <v>207</v>
      </c>
      <c r="F39" s="17" t="s">
        <v>207</v>
      </c>
      <c r="G39" s="17" t="s">
        <v>207</v>
      </c>
      <c r="H39" s="17" t="s">
        <v>207</v>
      </c>
      <c r="I39" s="17" t="s">
        <v>207</v>
      </c>
      <c r="J39" s="17" t="s">
        <v>207</v>
      </c>
      <c r="K39" s="17" t="s">
        <v>207</v>
      </c>
      <c r="L39" s="17" t="s">
        <v>207</v>
      </c>
      <c r="M39" s="17" t="s">
        <v>207</v>
      </c>
      <c r="N39" s="17" t="s">
        <v>207</v>
      </c>
      <c r="O39" s="17" t="s">
        <v>207</v>
      </c>
      <c r="P39" s="17" t="s">
        <v>207</v>
      </c>
      <c r="Q39" s="17"/>
      <c r="R39" s="17" t="s">
        <v>207</v>
      </c>
      <c r="S39" s="17" t="s">
        <v>207</v>
      </c>
      <c r="T39" s="17" t="s">
        <v>207</v>
      </c>
      <c r="U39" s="17" t="s">
        <v>207</v>
      </c>
      <c r="V39" s="17" t="s">
        <v>207</v>
      </c>
      <c r="W39" s="17" t="s">
        <v>207</v>
      </c>
      <c r="X39" s="17" t="s">
        <v>207</v>
      </c>
      <c r="Y39" s="17" t="s">
        <v>207</v>
      </c>
      <c r="Z39" s="17" t="s">
        <v>207</v>
      </c>
      <c r="AA39" s="17" t="s">
        <v>207</v>
      </c>
      <c r="AB39" s="17" t="s">
        <v>207</v>
      </c>
      <c r="AC39" s="17" t="s">
        <v>207</v>
      </c>
      <c r="AD39" s="17" t="s">
        <v>207</v>
      </c>
    </row>
    <row r="40" spans="1:30" x14ac:dyDescent="0.2">
      <c r="B40" s="17" t="s">
        <v>208</v>
      </c>
      <c r="C40" s="17" t="s">
        <v>208</v>
      </c>
      <c r="D40" s="17" t="s">
        <v>208</v>
      </c>
      <c r="E40" s="17" t="s">
        <v>208</v>
      </c>
      <c r="F40" s="17" t="s">
        <v>208</v>
      </c>
      <c r="G40" s="17" t="s">
        <v>208</v>
      </c>
      <c r="H40" s="17" t="s">
        <v>208</v>
      </c>
      <c r="I40" s="17" t="s">
        <v>208</v>
      </c>
      <c r="J40" s="17" t="s">
        <v>208</v>
      </c>
      <c r="K40" s="17" t="s">
        <v>208</v>
      </c>
      <c r="L40" s="17" t="s">
        <v>208</v>
      </c>
      <c r="M40" s="17" t="s">
        <v>208</v>
      </c>
      <c r="N40" s="17" t="s">
        <v>208</v>
      </c>
      <c r="O40" s="17" t="s">
        <v>208</v>
      </c>
      <c r="P40" s="17" t="s">
        <v>208</v>
      </c>
      <c r="Q40" s="17"/>
      <c r="R40" s="17" t="s">
        <v>208</v>
      </c>
      <c r="S40" s="17" t="s">
        <v>208</v>
      </c>
      <c r="T40" s="17" t="s">
        <v>208</v>
      </c>
      <c r="U40" s="17" t="s">
        <v>208</v>
      </c>
      <c r="V40" s="17" t="s">
        <v>208</v>
      </c>
      <c r="W40" s="17" t="s">
        <v>208</v>
      </c>
      <c r="X40" s="17" t="s">
        <v>208</v>
      </c>
      <c r="Y40" s="17" t="s">
        <v>208</v>
      </c>
      <c r="Z40" s="17" t="s">
        <v>208</v>
      </c>
      <c r="AA40" s="17" t="s">
        <v>208</v>
      </c>
      <c r="AB40" s="17" t="s">
        <v>208</v>
      </c>
      <c r="AC40" s="17" t="s">
        <v>208</v>
      </c>
      <c r="AD40" s="17" t="s">
        <v>208</v>
      </c>
    </row>
    <row r="41" spans="1:30" x14ac:dyDescent="0.2">
      <c r="A41" s="1" t="s">
        <v>209</v>
      </c>
      <c r="B41" s="17" t="s">
        <v>210</v>
      </c>
      <c r="C41" s="17" t="s">
        <v>210</v>
      </c>
      <c r="D41" s="17" t="s">
        <v>210</v>
      </c>
      <c r="E41" s="17" t="s">
        <v>210</v>
      </c>
      <c r="F41" s="17" t="s">
        <v>210</v>
      </c>
      <c r="G41" s="17" t="s">
        <v>210</v>
      </c>
      <c r="H41" s="17" t="s">
        <v>210</v>
      </c>
      <c r="I41" s="17" t="s">
        <v>210</v>
      </c>
      <c r="J41" s="17" t="s">
        <v>210</v>
      </c>
      <c r="K41" s="17" t="s">
        <v>210</v>
      </c>
      <c r="L41" s="17" t="s">
        <v>210</v>
      </c>
      <c r="M41" s="17" t="s">
        <v>210</v>
      </c>
      <c r="N41" s="17" t="s">
        <v>210</v>
      </c>
      <c r="O41" s="17" t="s">
        <v>210</v>
      </c>
      <c r="P41" s="17" t="s">
        <v>210</v>
      </c>
      <c r="Q41" s="17"/>
      <c r="R41" s="17" t="s">
        <v>210</v>
      </c>
      <c r="S41" s="17" t="s">
        <v>210</v>
      </c>
      <c r="T41" s="17" t="s">
        <v>210</v>
      </c>
      <c r="U41" s="17" t="s">
        <v>210</v>
      </c>
      <c r="V41" s="17" t="s">
        <v>210</v>
      </c>
      <c r="W41" s="17" t="s">
        <v>210</v>
      </c>
      <c r="X41" s="17" t="s">
        <v>210</v>
      </c>
      <c r="Y41" s="17" t="s">
        <v>210</v>
      </c>
      <c r="Z41" s="17" t="s">
        <v>210</v>
      </c>
      <c r="AA41" s="17" t="s">
        <v>210</v>
      </c>
      <c r="AB41" s="17" t="s">
        <v>210</v>
      </c>
      <c r="AC41" s="17" t="s">
        <v>210</v>
      </c>
      <c r="AD41" s="17" t="s">
        <v>210</v>
      </c>
    </row>
    <row r="42" spans="1:30" x14ac:dyDescent="0.2">
      <c r="B42" s="17" t="s">
        <v>211</v>
      </c>
      <c r="C42" s="17" t="s">
        <v>211</v>
      </c>
      <c r="D42" s="17" t="s">
        <v>211</v>
      </c>
      <c r="E42" s="17" t="s">
        <v>211</v>
      </c>
      <c r="F42" s="17" t="s">
        <v>211</v>
      </c>
      <c r="G42" s="17" t="s">
        <v>211</v>
      </c>
      <c r="H42" s="17" t="s">
        <v>211</v>
      </c>
      <c r="I42" s="17" t="s">
        <v>211</v>
      </c>
      <c r="J42" s="17" t="s">
        <v>211</v>
      </c>
      <c r="K42" s="17" t="s">
        <v>211</v>
      </c>
      <c r="L42" s="17" t="s">
        <v>211</v>
      </c>
      <c r="M42" s="17" t="s">
        <v>211</v>
      </c>
      <c r="N42" s="17" t="s">
        <v>211</v>
      </c>
      <c r="O42" s="17" t="s">
        <v>211</v>
      </c>
      <c r="P42" s="17" t="s">
        <v>211</v>
      </c>
      <c r="Q42" s="17"/>
      <c r="R42" s="17" t="s">
        <v>211</v>
      </c>
      <c r="S42" s="17" t="s">
        <v>211</v>
      </c>
      <c r="T42" s="17" t="s">
        <v>211</v>
      </c>
      <c r="U42" s="17" t="s">
        <v>211</v>
      </c>
      <c r="V42" s="17" t="s">
        <v>211</v>
      </c>
      <c r="W42" s="17" t="s">
        <v>211</v>
      </c>
      <c r="X42" s="17" t="s">
        <v>211</v>
      </c>
      <c r="Y42" s="17" t="s">
        <v>211</v>
      </c>
      <c r="Z42" s="17" t="s">
        <v>211</v>
      </c>
      <c r="AA42" s="17" t="s">
        <v>211</v>
      </c>
      <c r="AB42" s="17" t="s">
        <v>211</v>
      </c>
      <c r="AC42" s="17" t="s">
        <v>211</v>
      </c>
      <c r="AD42" s="17" t="s">
        <v>211</v>
      </c>
    </row>
    <row r="43" spans="1:30" x14ac:dyDescent="0.2">
      <c r="B43" s="17" t="s">
        <v>212</v>
      </c>
      <c r="C43" s="17" t="s">
        <v>212</v>
      </c>
      <c r="D43" s="17" t="s">
        <v>212</v>
      </c>
      <c r="E43" s="17" t="s">
        <v>212</v>
      </c>
      <c r="F43" s="17" t="s">
        <v>212</v>
      </c>
      <c r="G43" s="17" t="s">
        <v>212</v>
      </c>
      <c r="H43" s="17" t="s">
        <v>212</v>
      </c>
      <c r="I43" s="17" t="s">
        <v>212</v>
      </c>
      <c r="J43" s="17" t="s">
        <v>212</v>
      </c>
      <c r="K43" s="17" t="s">
        <v>212</v>
      </c>
      <c r="L43" s="17" t="s">
        <v>212</v>
      </c>
      <c r="M43" s="17" t="s">
        <v>212</v>
      </c>
      <c r="N43" s="17" t="s">
        <v>212</v>
      </c>
      <c r="O43" s="17" t="s">
        <v>212</v>
      </c>
      <c r="P43" s="17" t="s">
        <v>212</v>
      </c>
      <c r="Q43" s="17"/>
      <c r="R43" s="17" t="s">
        <v>212</v>
      </c>
      <c r="S43" s="17" t="s">
        <v>212</v>
      </c>
      <c r="T43" s="17" t="s">
        <v>212</v>
      </c>
      <c r="U43" s="17" t="s">
        <v>212</v>
      </c>
      <c r="V43" s="17" t="s">
        <v>212</v>
      </c>
      <c r="W43" s="17" t="s">
        <v>212</v>
      </c>
      <c r="X43" s="17" t="s">
        <v>212</v>
      </c>
      <c r="Y43" s="17" t="s">
        <v>212</v>
      </c>
      <c r="Z43" s="17" t="s">
        <v>212</v>
      </c>
      <c r="AA43" s="17" t="s">
        <v>212</v>
      </c>
      <c r="AB43" s="17" t="s">
        <v>212</v>
      </c>
      <c r="AC43" s="17" t="s">
        <v>212</v>
      </c>
      <c r="AD43" s="17" t="s">
        <v>212</v>
      </c>
    </row>
    <row r="44" spans="1:30" x14ac:dyDescent="0.2">
      <c r="B44" s="17" t="s">
        <v>213</v>
      </c>
      <c r="C44" s="17" t="s">
        <v>213</v>
      </c>
      <c r="D44" s="17" t="s">
        <v>213</v>
      </c>
      <c r="E44" s="17" t="s">
        <v>213</v>
      </c>
      <c r="F44" s="17" t="s">
        <v>213</v>
      </c>
      <c r="G44" s="17" t="s">
        <v>213</v>
      </c>
      <c r="H44" s="17" t="s">
        <v>213</v>
      </c>
      <c r="I44" s="17" t="s">
        <v>213</v>
      </c>
      <c r="J44" s="17" t="s">
        <v>213</v>
      </c>
      <c r="K44" s="17" t="s">
        <v>213</v>
      </c>
      <c r="L44" s="17" t="s">
        <v>213</v>
      </c>
      <c r="M44" s="17" t="s">
        <v>213</v>
      </c>
      <c r="N44" s="17" t="s">
        <v>213</v>
      </c>
      <c r="O44" s="17" t="s">
        <v>213</v>
      </c>
      <c r="P44" s="17" t="s">
        <v>213</v>
      </c>
      <c r="Q44" s="17"/>
      <c r="R44" s="17" t="s">
        <v>213</v>
      </c>
      <c r="S44" s="17" t="s">
        <v>213</v>
      </c>
      <c r="T44" s="17" t="s">
        <v>213</v>
      </c>
      <c r="U44" s="17" t="s">
        <v>213</v>
      </c>
      <c r="V44" s="17" t="s">
        <v>213</v>
      </c>
      <c r="W44" s="17" t="s">
        <v>213</v>
      </c>
      <c r="X44" s="17" t="s">
        <v>213</v>
      </c>
      <c r="Y44" s="17" t="s">
        <v>213</v>
      </c>
      <c r="Z44" s="17" t="s">
        <v>213</v>
      </c>
      <c r="AA44" s="17" t="s">
        <v>213</v>
      </c>
      <c r="AB44" s="17" t="s">
        <v>213</v>
      </c>
      <c r="AC44" s="17" t="s">
        <v>213</v>
      </c>
      <c r="AD44" s="17" t="s">
        <v>213</v>
      </c>
    </row>
    <row r="45" spans="1:30" x14ac:dyDescent="0.2">
      <c r="B45" s="17" t="s">
        <v>214</v>
      </c>
      <c r="C45" s="17" t="s">
        <v>214</v>
      </c>
      <c r="D45" s="17" t="s">
        <v>214</v>
      </c>
      <c r="E45" s="17" t="s">
        <v>214</v>
      </c>
      <c r="F45" s="17" t="s">
        <v>214</v>
      </c>
      <c r="G45" s="17" t="s">
        <v>214</v>
      </c>
      <c r="H45" s="17" t="s">
        <v>214</v>
      </c>
      <c r="I45" s="17" t="s">
        <v>214</v>
      </c>
      <c r="J45" s="17" t="s">
        <v>214</v>
      </c>
      <c r="K45" s="17" t="s">
        <v>214</v>
      </c>
      <c r="L45" s="17" t="s">
        <v>214</v>
      </c>
      <c r="M45" s="17" t="s">
        <v>214</v>
      </c>
      <c r="N45" s="17" t="s">
        <v>214</v>
      </c>
      <c r="O45" s="17" t="s">
        <v>214</v>
      </c>
      <c r="P45" s="17" t="s">
        <v>214</v>
      </c>
      <c r="Q45" s="17"/>
      <c r="R45" s="17" t="s">
        <v>214</v>
      </c>
      <c r="S45" s="17" t="s">
        <v>214</v>
      </c>
      <c r="T45" s="17" t="s">
        <v>214</v>
      </c>
      <c r="U45" s="17" t="s">
        <v>214</v>
      </c>
      <c r="V45" s="17" t="s">
        <v>214</v>
      </c>
      <c r="W45" s="17" t="s">
        <v>214</v>
      </c>
      <c r="X45" s="17" t="s">
        <v>214</v>
      </c>
      <c r="Y45" s="17" t="s">
        <v>214</v>
      </c>
      <c r="Z45" s="17" t="s">
        <v>214</v>
      </c>
      <c r="AA45" s="17" t="s">
        <v>214</v>
      </c>
      <c r="AB45" s="17" t="s">
        <v>214</v>
      </c>
      <c r="AC45" s="17" t="s">
        <v>214</v>
      </c>
      <c r="AD45" s="17" t="s">
        <v>214</v>
      </c>
    </row>
    <row r="46" spans="1:30" x14ac:dyDescent="0.2">
      <c r="B46" s="17" t="s">
        <v>215</v>
      </c>
      <c r="C46" s="17" t="s">
        <v>215</v>
      </c>
      <c r="D46" s="17" t="s">
        <v>215</v>
      </c>
      <c r="E46" s="17" t="s">
        <v>215</v>
      </c>
      <c r="F46" s="17" t="s">
        <v>215</v>
      </c>
      <c r="G46" s="17" t="s">
        <v>215</v>
      </c>
      <c r="H46" s="17" t="s">
        <v>215</v>
      </c>
      <c r="I46" s="17" t="s">
        <v>215</v>
      </c>
      <c r="J46" s="17" t="s">
        <v>215</v>
      </c>
      <c r="K46" s="17" t="s">
        <v>215</v>
      </c>
      <c r="L46" s="17" t="s">
        <v>215</v>
      </c>
      <c r="M46" s="17" t="s">
        <v>215</v>
      </c>
      <c r="N46" s="17" t="s">
        <v>215</v>
      </c>
      <c r="O46" s="17" t="s">
        <v>215</v>
      </c>
      <c r="P46" s="17" t="s">
        <v>215</v>
      </c>
      <c r="Q46" s="17"/>
      <c r="R46" s="17" t="s">
        <v>215</v>
      </c>
      <c r="S46" s="17" t="s">
        <v>215</v>
      </c>
      <c r="T46" s="17" t="s">
        <v>215</v>
      </c>
      <c r="U46" s="17" t="s">
        <v>215</v>
      </c>
      <c r="V46" s="17" t="s">
        <v>215</v>
      </c>
      <c r="W46" s="17" t="s">
        <v>215</v>
      </c>
      <c r="X46" s="17" t="s">
        <v>215</v>
      </c>
      <c r="Y46" s="17" t="s">
        <v>215</v>
      </c>
      <c r="Z46" s="17" t="s">
        <v>215</v>
      </c>
      <c r="AA46" s="17" t="s">
        <v>215</v>
      </c>
      <c r="AB46" s="17" t="s">
        <v>215</v>
      </c>
      <c r="AC46" s="17" t="s">
        <v>215</v>
      </c>
      <c r="AD46" s="17" t="s">
        <v>215</v>
      </c>
    </row>
    <row r="47" spans="1:30" x14ac:dyDescent="0.2">
      <c r="B47" s="17" t="s">
        <v>216</v>
      </c>
      <c r="C47" s="17" t="s">
        <v>216</v>
      </c>
      <c r="D47" s="17" t="s">
        <v>216</v>
      </c>
      <c r="E47" s="17" t="s">
        <v>216</v>
      </c>
      <c r="F47" s="17" t="s">
        <v>216</v>
      </c>
      <c r="G47" s="17" t="s">
        <v>216</v>
      </c>
      <c r="H47" s="17" t="s">
        <v>216</v>
      </c>
      <c r="I47" s="17" t="s">
        <v>216</v>
      </c>
      <c r="J47" s="17" t="s">
        <v>216</v>
      </c>
      <c r="K47" s="17" t="s">
        <v>216</v>
      </c>
      <c r="L47" s="17" t="s">
        <v>216</v>
      </c>
      <c r="M47" s="17" t="s">
        <v>216</v>
      </c>
      <c r="N47" s="17" t="s">
        <v>216</v>
      </c>
      <c r="O47" s="17" t="s">
        <v>216</v>
      </c>
      <c r="P47" s="17" t="s">
        <v>216</v>
      </c>
      <c r="Q47" s="17"/>
      <c r="R47" s="17" t="s">
        <v>216</v>
      </c>
      <c r="S47" s="17" t="s">
        <v>216</v>
      </c>
      <c r="T47" s="17" t="s">
        <v>216</v>
      </c>
      <c r="U47" s="17" t="s">
        <v>216</v>
      </c>
      <c r="V47" s="17" t="s">
        <v>216</v>
      </c>
      <c r="W47" s="17" t="s">
        <v>216</v>
      </c>
      <c r="X47" s="17" t="s">
        <v>216</v>
      </c>
      <c r="Y47" s="17" t="s">
        <v>216</v>
      </c>
      <c r="Z47" s="17" t="s">
        <v>216</v>
      </c>
      <c r="AA47" s="17" t="s">
        <v>216</v>
      </c>
      <c r="AB47" s="17" t="s">
        <v>216</v>
      </c>
      <c r="AC47" s="17" t="s">
        <v>216</v>
      </c>
      <c r="AD47" s="17" t="s">
        <v>216</v>
      </c>
    </row>
    <row r="48" spans="1:30" x14ac:dyDescent="0.2">
      <c r="B48" s="17" t="s">
        <v>217</v>
      </c>
      <c r="C48" s="17" t="s">
        <v>217</v>
      </c>
      <c r="D48" s="17" t="s">
        <v>217</v>
      </c>
      <c r="E48" s="17" t="s">
        <v>217</v>
      </c>
      <c r="F48" s="17" t="s">
        <v>217</v>
      </c>
      <c r="G48" s="17" t="s">
        <v>217</v>
      </c>
      <c r="H48" s="17" t="s">
        <v>217</v>
      </c>
      <c r="I48" s="17" t="s">
        <v>217</v>
      </c>
      <c r="J48" s="17" t="s">
        <v>217</v>
      </c>
      <c r="K48" s="17" t="s">
        <v>217</v>
      </c>
      <c r="L48" s="17" t="s">
        <v>217</v>
      </c>
      <c r="M48" s="17" t="s">
        <v>217</v>
      </c>
      <c r="N48" s="17" t="s">
        <v>217</v>
      </c>
      <c r="O48" s="17" t="s">
        <v>217</v>
      </c>
      <c r="P48" s="17" t="s">
        <v>217</v>
      </c>
      <c r="Q48" s="17"/>
      <c r="R48" s="17" t="s">
        <v>217</v>
      </c>
      <c r="S48" s="17" t="s">
        <v>217</v>
      </c>
      <c r="T48" s="17" t="s">
        <v>217</v>
      </c>
      <c r="U48" s="17" t="s">
        <v>217</v>
      </c>
      <c r="V48" s="17" t="s">
        <v>217</v>
      </c>
      <c r="W48" s="17" t="s">
        <v>217</v>
      </c>
      <c r="X48" s="17" t="s">
        <v>217</v>
      </c>
      <c r="Y48" s="17" t="s">
        <v>217</v>
      </c>
      <c r="Z48" s="17" t="s">
        <v>217</v>
      </c>
      <c r="AA48" s="17" t="s">
        <v>217</v>
      </c>
      <c r="AB48" s="17" t="s">
        <v>217</v>
      </c>
      <c r="AC48" s="17" t="s">
        <v>217</v>
      </c>
      <c r="AD48" s="17" t="s">
        <v>217</v>
      </c>
    </row>
    <row r="49" spans="2:30" x14ac:dyDescent="0.2">
      <c r="B49" s="17" t="s">
        <v>218</v>
      </c>
      <c r="C49" s="17" t="s">
        <v>218</v>
      </c>
      <c r="D49" s="17" t="s">
        <v>218</v>
      </c>
      <c r="E49" s="17" t="s">
        <v>218</v>
      </c>
      <c r="F49" s="17" t="s">
        <v>218</v>
      </c>
      <c r="G49" s="17" t="s">
        <v>218</v>
      </c>
      <c r="H49" s="17" t="s">
        <v>218</v>
      </c>
      <c r="I49" s="17" t="s">
        <v>218</v>
      </c>
      <c r="J49" s="17" t="s">
        <v>218</v>
      </c>
      <c r="K49" s="17" t="s">
        <v>218</v>
      </c>
      <c r="L49" s="17" t="s">
        <v>218</v>
      </c>
      <c r="M49" s="17" t="s">
        <v>218</v>
      </c>
      <c r="N49" s="17" t="s">
        <v>218</v>
      </c>
      <c r="O49" s="17" t="s">
        <v>218</v>
      </c>
      <c r="P49" s="17" t="s">
        <v>218</v>
      </c>
      <c r="Q49" s="17"/>
      <c r="R49" s="17" t="s">
        <v>218</v>
      </c>
      <c r="S49" s="17" t="s">
        <v>218</v>
      </c>
      <c r="T49" s="17" t="s">
        <v>218</v>
      </c>
      <c r="U49" s="17" t="s">
        <v>218</v>
      </c>
      <c r="V49" s="17" t="s">
        <v>218</v>
      </c>
      <c r="W49" s="17" t="s">
        <v>218</v>
      </c>
      <c r="X49" s="17" t="s">
        <v>218</v>
      </c>
      <c r="Y49" s="17" t="s">
        <v>218</v>
      </c>
      <c r="Z49" s="17" t="s">
        <v>218</v>
      </c>
      <c r="AA49" s="17" t="s">
        <v>218</v>
      </c>
      <c r="AB49" s="17" t="s">
        <v>218</v>
      </c>
      <c r="AC49" s="17" t="s">
        <v>218</v>
      </c>
      <c r="AD49" s="17" t="s">
        <v>218</v>
      </c>
    </row>
    <row r="50" spans="2:30" x14ac:dyDescent="0.2">
      <c r="B50" s="17" t="s">
        <v>219</v>
      </c>
      <c r="C50" s="17" t="s">
        <v>219</v>
      </c>
      <c r="D50" s="17" t="s">
        <v>219</v>
      </c>
      <c r="E50" s="17" t="s">
        <v>219</v>
      </c>
      <c r="F50" s="17" t="s">
        <v>219</v>
      </c>
      <c r="G50" s="17" t="s">
        <v>219</v>
      </c>
      <c r="H50" s="17" t="s">
        <v>219</v>
      </c>
      <c r="I50" s="17" t="s">
        <v>219</v>
      </c>
      <c r="J50" s="17" t="s">
        <v>219</v>
      </c>
      <c r="K50" s="17" t="s">
        <v>219</v>
      </c>
      <c r="L50" s="17" t="s">
        <v>219</v>
      </c>
      <c r="M50" s="17" t="s">
        <v>219</v>
      </c>
      <c r="N50" s="17" t="s">
        <v>219</v>
      </c>
      <c r="O50" s="17" t="s">
        <v>219</v>
      </c>
      <c r="P50" s="17" t="s">
        <v>219</v>
      </c>
      <c r="Q50" s="17"/>
      <c r="R50" s="17" t="s">
        <v>219</v>
      </c>
      <c r="S50" s="17" t="s">
        <v>219</v>
      </c>
      <c r="T50" s="17" t="s">
        <v>219</v>
      </c>
      <c r="U50" s="17" t="s">
        <v>219</v>
      </c>
      <c r="V50" s="17" t="s">
        <v>219</v>
      </c>
      <c r="W50" s="17" t="s">
        <v>219</v>
      </c>
      <c r="X50" s="17" t="s">
        <v>219</v>
      </c>
      <c r="Y50" s="17" t="s">
        <v>219</v>
      </c>
      <c r="Z50" s="17" t="s">
        <v>219</v>
      </c>
      <c r="AA50" s="17" t="s">
        <v>219</v>
      </c>
      <c r="AB50" s="17" t="s">
        <v>219</v>
      </c>
      <c r="AC50" s="17" t="s">
        <v>219</v>
      </c>
      <c r="AD50" s="17" t="s">
        <v>219</v>
      </c>
    </row>
    <row r="51" spans="2:30" x14ac:dyDescent="0.2">
      <c r="B51" s="17" t="s">
        <v>220</v>
      </c>
      <c r="C51" s="17" t="s">
        <v>220</v>
      </c>
      <c r="D51" s="17" t="s">
        <v>220</v>
      </c>
      <c r="E51" s="17" t="s">
        <v>220</v>
      </c>
      <c r="F51" s="17" t="s">
        <v>220</v>
      </c>
      <c r="G51" s="17" t="s">
        <v>220</v>
      </c>
      <c r="H51" s="17" t="s">
        <v>220</v>
      </c>
      <c r="I51" s="17" t="s">
        <v>220</v>
      </c>
      <c r="J51" s="17" t="s">
        <v>220</v>
      </c>
      <c r="K51" s="17" t="s">
        <v>220</v>
      </c>
      <c r="L51" s="17" t="s">
        <v>220</v>
      </c>
      <c r="M51" s="17" t="s">
        <v>220</v>
      </c>
      <c r="N51" s="17" t="s">
        <v>220</v>
      </c>
      <c r="O51" s="17" t="s">
        <v>220</v>
      </c>
      <c r="P51" s="17" t="s">
        <v>220</v>
      </c>
      <c r="Q51" s="17"/>
      <c r="R51" s="17" t="s">
        <v>220</v>
      </c>
      <c r="S51" s="17" t="s">
        <v>220</v>
      </c>
      <c r="T51" s="17" t="s">
        <v>220</v>
      </c>
      <c r="U51" s="17" t="s">
        <v>220</v>
      </c>
      <c r="V51" s="17" t="s">
        <v>220</v>
      </c>
      <c r="W51" s="17" t="s">
        <v>220</v>
      </c>
      <c r="X51" s="17" t="s">
        <v>220</v>
      </c>
      <c r="Y51" s="17" t="s">
        <v>220</v>
      </c>
      <c r="Z51" s="17" t="s">
        <v>220</v>
      </c>
      <c r="AA51" s="17" t="s">
        <v>220</v>
      </c>
      <c r="AB51" s="17" t="s">
        <v>220</v>
      </c>
      <c r="AC51" s="17" t="s">
        <v>220</v>
      </c>
      <c r="AD51" s="17" t="s">
        <v>220</v>
      </c>
    </row>
    <row r="52" spans="2:30" x14ac:dyDescent="0.2">
      <c r="B52" s="17" t="s">
        <v>221</v>
      </c>
      <c r="C52" s="17" t="s">
        <v>221</v>
      </c>
      <c r="D52" s="17" t="s">
        <v>221</v>
      </c>
      <c r="E52" s="17" t="s">
        <v>221</v>
      </c>
      <c r="F52" s="17" t="s">
        <v>221</v>
      </c>
      <c r="G52" s="17" t="s">
        <v>221</v>
      </c>
      <c r="H52" s="17" t="s">
        <v>221</v>
      </c>
      <c r="I52" s="17" t="s">
        <v>221</v>
      </c>
      <c r="J52" s="17" t="s">
        <v>221</v>
      </c>
      <c r="K52" s="17" t="s">
        <v>221</v>
      </c>
      <c r="L52" s="17" t="s">
        <v>221</v>
      </c>
      <c r="M52" s="17" t="s">
        <v>221</v>
      </c>
      <c r="N52" s="17" t="s">
        <v>221</v>
      </c>
      <c r="O52" s="17" t="s">
        <v>221</v>
      </c>
      <c r="P52" s="17" t="s">
        <v>221</v>
      </c>
      <c r="Q52" s="17"/>
      <c r="R52" s="17" t="s">
        <v>221</v>
      </c>
      <c r="S52" s="17" t="s">
        <v>221</v>
      </c>
      <c r="T52" s="17" t="s">
        <v>221</v>
      </c>
      <c r="U52" s="17" t="s">
        <v>221</v>
      </c>
      <c r="V52" s="17" t="s">
        <v>221</v>
      </c>
      <c r="W52" s="17" t="s">
        <v>221</v>
      </c>
      <c r="X52" s="17" t="s">
        <v>221</v>
      </c>
      <c r="Y52" s="17" t="s">
        <v>221</v>
      </c>
      <c r="Z52" s="17" t="s">
        <v>221</v>
      </c>
      <c r="AA52" s="17" t="s">
        <v>221</v>
      </c>
      <c r="AB52" s="17" t="s">
        <v>221</v>
      </c>
      <c r="AC52" s="17" t="s">
        <v>221</v>
      </c>
      <c r="AD52" s="17" t="s">
        <v>221</v>
      </c>
    </row>
    <row r="53" spans="2:30" x14ac:dyDescent="0.2">
      <c r="B53" s="17" t="s">
        <v>222</v>
      </c>
      <c r="C53" s="17" t="s">
        <v>222</v>
      </c>
      <c r="D53" s="17" t="s">
        <v>222</v>
      </c>
      <c r="E53" s="17" t="s">
        <v>222</v>
      </c>
      <c r="F53" s="17" t="s">
        <v>222</v>
      </c>
      <c r="G53" s="17" t="s">
        <v>222</v>
      </c>
      <c r="H53" s="17" t="s">
        <v>222</v>
      </c>
      <c r="I53" s="17" t="s">
        <v>222</v>
      </c>
      <c r="J53" s="17" t="s">
        <v>222</v>
      </c>
      <c r="K53" s="17" t="s">
        <v>222</v>
      </c>
      <c r="L53" s="17" t="s">
        <v>222</v>
      </c>
      <c r="M53" s="17" t="s">
        <v>222</v>
      </c>
      <c r="N53" s="17" t="s">
        <v>222</v>
      </c>
      <c r="O53" s="17" t="s">
        <v>222</v>
      </c>
      <c r="P53" s="17" t="s">
        <v>222</v>
      </c>
      <c r="Q53" s="17"/>
      <c r="R53" s="17" t="s">
        <v>222</v>
      </c>
      <c r="S53" s="17" t="s">
        <v>222</v>
      </c>
      <c r="T53" s="17" t="s">
        <v>222</v>
      </c>
      <c r="U53" s="17" t="s">
        <v>222</v>
      </c>
      <c r="V53" s="17" t="s">
        <v>222</v>
      </c>
      <c r="W53" s="17" t="s">
        <v>222</v>
      </c>
      <c r="X53" s="17" t="s">
        <v>222</v>
      </c>
      <c r="Y53" s="17" t="s">
        <v>222</v>
      </c>
      <c r="Z53" s="17" t="s">
        <v>222</v>
      </c>
      <c r="AA53" s="17" t="s">
        <v>222</v>
      </c>
      <c r="AB53" s="17" t="s">
        <v>222</v>
      </c>
      <c r="AC53" s="17" t="s">
        <v>222</v>
      </c>
      <c r="AD53" s="17" t="s">
        <v>222</v>
      </c>
    </row>
    <row r="54" spans="2:30" x14ac:dyDescent="0.2">
      <c r="B54" s="17" t="s">
        <v>223</v>
      </c>
      <c r="C54" s="17" t="s">
        <v>223</v>
      </c>
      <c r="D54" s="17" t="s">
        <v>223</v>
      </c>
      <c r="E54" s="17" t="s">
        <v>223</v>
      </c>
      <c r="F54" s="17" t="s">
        <v>223</v>
      </c>
      <c r="G54" s="17" t="s">
        <v>223</v>
      </c>
      <c r="H54" s="17" t="s">
        <v>223</v>
      </c>
      <c r="I54" s="17" t="s">
        <v>223</v>
      </c>
      <c r="J54" s="17" t="s">
        <v>223</v>
      </c>
      <c r="K54" s="17" t="s">
        <v>223</v>
      </c>
      <c r="L54" s="17" t="s">
        <v>223</v>
      </c>
      <c r="M54" s="17" t="s">
        <v>223</v>
      </c>
      <c r="N54" s="17" t="s">
        <v>223</v>
      </c>
      <c r="O54" s="17" t="s">
        <v>223</v>
      </c>
      <c r="P54" s="17" t="s">
        <v>223</v>
      </c>
      <c r="Q54" s="17"/>
      <c r="R54" s="17" t="s">
        <v>223</v>
      </c>
      <c r="S54" s="17" t="s">
        <v>223</v>
      </c>
      <c r="T54" s="17" t="s">
        <v>223</v>
      </c>
      <c r="U54" s="17" t="s">
        <v>223</v>
      </c>
      <c r="V54" s="17" t="s">
        <v>223</v>
      </c>
      <c r="W54" s="17" t="s">
        <v>223</v>
      </c>
      <c r="X54" s="17" t="s">
        <v>223</v>
      </c>
      <c r="Y54" s="17" t="s">
        <v>223</v>
      </c>
      <c r="Z54" s="17" t="s">
        <v>223</v>
      </c>
      <c r="AA54" s="17" t="s">
        <v>223</v>
      </c>
      <c r="AB54" s="17" t="s">
        <v>223</v>
      </c>
      <c r="AC54" s="17" t="s">
        <v>223</v>
      </c>
      <c r="AD54" s="17" t="s">
        <v>223</v>
      </c>
    </row>
    <row r="55" spans="2:30" x14ac:dyDescent="0.2">
      <c r="B55" s="17" t="s">
        <v>224</v>
      </c>
      <c r="C55" s="17" t="s">
        <v>224</v>
      </c>
      <c r="D55" s="17" t="s">
        <v>224</v>
      </c>
      <c r="E55" s="17" t="s">
        <v>224</v>
      </c>
      <c r="F55" s="17" t="s">
        <v>224</v>
      </c>
      <c r="G55" s="17" t="s">
        <v>224</v>
      </c>
      <c r="H55" s="17" t="s">
        <v>224</v>
      </c>
      <c r="I55" s="17" t="s">
        <v>224</v>
      </c>
      <c r="J55" s="17" t="s">
        <v>224</v>
      </c>
      <c r="K55" s="17" t="s">
        <v>224</v>
      </c>
      <c r="L55" s="17" t="s">
        <v>224</v>
      </c>
      <c r="M55" s="17" t="s">
        <v>224</v>
      </c>
      <c r="N55" s="17" t="s">
        <v>224</v>
      </c>
      <c r="O55" s="17" t="s">
        <v>224</v>
      </c>
      <c r="P55" s="17" t="s">
        <v>224</v>
      </c>
      <c r="Q55" s="17"/>
      <c r="R55" s="17" t="s">
        <v>224</v>
      </c>
      <c r="S55" s="17" t="s">
        <v>224</v>
      </c>
      <c r="T55" s="17" t="s">
        <v>224</v>
      </c>
      <c r="U55" s="17" t="s">
        <v>224</v>
      </c>
      <c r="V55" s="17" t="s">
        <v>224</v>
      </c>
      <c r="W55" s="17" t="s">
        <v>224</v>
      </c>
      <c r="X55" s="17" t="s">
        <v>224</v>
      </c>
      <c r="Y55" s="17" t="s">
        <v>224</v>
      </c>
      <c r="Z55" s="17" t="s">
        <v>224</v>
      </c>
      <c r="AA55" s="17" t="s">
        <v>224</v>
      </c>
      <c r="AB55" s="17" t="s">
        <v>224</v>
      </c>
      <c r="AC55" s="17" t="s">
        <v>224</v>
      </c>
      <c r="AD55" s="17" t="s">
        <v>224</v>
      </c>
    </row>
    <row r="56" spans="2:30" x14ac:dyDescent="0.2">
      <c r="B56" s="17" t="s">
        <v>225</v>
      </c>
      <c r="C56" s="17" t="s">
        <v>225</v>
      </c>
      <c r="D56" s="17" t="s">
        <v>225</v>
      </c>
      <c r="E56" s="17" t="s">
        <v>225</v>
      </c>
      <c r="F56" s="17" t="s">
        <v>225</v>
      </c>
      <c r="G56" s="17" t="s">
        <v>225</v>
      </c>
      <c r="H56" s="17" t="s">
        <v>225</v>
      </c>
      <c r="I56" s="17" t="s">
        <v>225</v>
      </c>
      <c r="J56" s="17" t="s">
        <v>225</v>
      </c>
      <c r="K56" s="17" t="s">
        <v>225</v>
      </c>
      <c r="L56" s="17" t="s">
        <v>225</v>
      </c>
      <c r="M56" s="17" t="s">
        <v>225</v>
      </c>
      <c r="N56" s="17" t="s">
        <v>225</v>
      </c>
      <c r="O56" s="17" t="s">
        <v>225</v>
      </c>
      <c r="P56" s="17" t="s">
        <v>225</v>
      </c>
      <c r="Q56" s="17"/>
      <c r="R56" s="17" t="s">
        <v>225</v>
      </c>
      <c r="S56" s="17" t="s">
        <v>225</v>
      </c>
      <c r="T56" s="17" t="s">
        <v>225</v>
      </c>
      <c r="U56" s="17" t="s">
        <v>225</v>
      </c>
      <c r="V56" s="17" t="s">
        <v>225</v>
      </c>
      <c r="W56" s="17" t="s">
        <v>225</v>
      </c>
      <c r="X56" s="17" t="s">
        <v>225</v>
      </c>
      <c r="Y56" s="17" t="s">
        <v>225</v>
      </c>
      <c r="Z56" s="17" t="s">
        <v>225</v>
      </c>
      <c r="AA56" s="17" t="s">
        <v>225</v>
      </c>
      <c r="AB56" s="17" t="s">
        <v>225</v>
      </c>
      <c r="AC56" s="17" t="s">
        <v>225</v>
      </c>
      <c r="AD56" s="17" t="s">
        <v>225</v>
      </c>
    </row>
    <row r="57" spans="2:30" x14ac:dyDescent="0.2">
      <c r="B57" s="17" t="s">
        <v>226</v>
      </c>
      <c r="C57" s="17" t="s">
        <v>226</v>
      </c>
      <c r="D57" s="17" t="s">
        <v>226</v>
      </c>
      <c r="E57" s="17" t="s">
        <v>226</v>
      </c>
      <c r="F57" s="17" t="s">
        <v>226</v>
      </c>
      <c r="G57" s="17" t="s">
        <v>226</v>
      </c>
      <c r="H57" s="17" t="s">
        <v>226</v>
      </c>
      <c r="I57" s="17" t="s">
        <v>226</v>
      </c>
      <c r="J57" s="17" t="s">
        <v>226</v>
      </c>
      <c r="K57" s="17" t="s">
        <v>226</v>
      </c>
      <c r="L57" s="17" t="s">
        <v>226</v>
      </c>
      <c r="M57" s="17" t="s">
        <v>226</v>
      </c>
      <c r="N57" s="17" t="s">
        <v>226</v>
      </c>
      <c r="O57" s="17" t="s">
        <v>226</v>
      </c>
      <c r="P57" s="17" t="s">
        <v>226</v>
      </c>
      <c r="Q57" s="17"/>
      <c r="R57" s="17" t="s">
        <v>226</v>
      </c>
      <c r="S57" s="17" t="s">
        <v>226</v>
      </c>
      <c r="T57" s="17" t="s">
        <v>226</v>
      </c>
      <c r="U57" s="17" t="s">
        <v>226</v>
      </c>
      <c r="V57" s="17" t="s">
        <v>226</v>
      </c>
      <c r="W57" s="17" t="s">
        <v>226</v>
      </c>
      <c r="X57" s="17" t="s">
        <v>226</v>
      </c>
      <c r="Y57" s="17" t="s">
        <v>226</v>
      </c>
      <c r="Z57" s="17" t="s">
        <v>226</v>
      </c>
      <c r="AA57" s="17" t="s">
        <v>226</v>
      </c>
      <c r="AB57" s="17" t="s">
        <v>226</v>
      </c>
      <c r="AC57" s="17" t="s">
        <v>226</v>
      </c>
      <c r="AD57" s="17" t="s">
        <v>226</v>
      </c>
    </row>
    <row r="58" spans="2:30" x14ac:dyDescent="0.2">
      <c r="B58" s="17" t="s">
        <v>227</v>
      </c>
      <c r="C58" s="17" t="s">
        <v>227</v>
      </c>
      <c r="D58" s="17" t="s">
        <v>227</v>
      </c>
      <c r="E58" s="17" t="s">
        <v>227</v>
      </c>
      <c r="F58" s="17" t="s">
        <v>227</v>
      </c>
      <c r="G58" s="17" t="s">
        <v>227</v>
      </c>
      <c r="H58" s="17" t="s">
        <v>227</v>
      </c>
      <c r="I58" s="17" t="s">
        <v>227</v>
      </c>
      <c r="J58" s="17" t="s">
        <v>227</v>
      </c>
      <c r="K58" s="17" t="s">
        <v>227</v>
      </c>
      <c r="L58" s="17" t="s">
        <v>227</v>
      </c>
      <c r="M58" s="17" t="s">
        <v>227</v>
      </c>
      <c r="N58" s="17" t="s">
        <v>227</v>
      </c>
      <c r="O58" s="17" t="s">
        <v>227</v>
      </c>
      <c r="P58" s="17" t="s">
        <v>227</v>
      </c>
      <c r="Q58" s="17"/>
      <c r="R58" s="17" t="s">
        <v>227</v>
      </c>
      <c r="S58" s="17" t="s">
        <v>227</v>
      </c>
      <c r="T58" s="17" t="s">
        <v>227</v>
      </c>
      <c r="U58" s="17" t="s">
        <v>227</v>
      </c>
      <c r="V58" s="17" t="s">
        <v>227</v>
      </c>
      <c r="W58" s="17" t="s">
        <v>227</v>
      </c>
      <c r="X58" s="17" t="s">
        <v>227</v>
      </c>
      <c r="Y58" s="17" t="s">
        <v>227</v>
      </c>
      <c r="Z58" s="17" t="s">
        <v>227</v>
      </c>
      <c r="AA58" s="17" t="s">
        <v>227</v>
      </c>
      <c r="AB58" s="17" t="s">
        <v>227</v>
      </c>
      <c r="AC58" s="17" t="s">
        <v>227</v>
      </c>
      <c r="AD58" s="17" t="s">
        <v>227</v>
      </c>
    </row>
    <row r="59" spans="2:30" x14ac:dyDescent="0.2">
      <c r="B59" s="17" t="s">
        <v>228</v>
      </c>
      <c r="C59" s="17" t="s">
        <v>228</v>
      </c>
      <c r="D59" s="17" t="s">
        <v>228</v>
      </c>
      <c r="E59" s="17" t="s">
        <v>228</v>
      </c>
      <c r="F59" s="17" t="s">
        <v>228</v>
      </c>
      <c r="G59" s="17" t="s">
        <v>228</v>
      </c>
      <c r="H59" s="17" t="s">
        <v>228</v>
      </c>
      <c r="I59" s="17" t="s">
        <v>228</v>
      </c>
      <c r="J59" s="17" t="s">
        <v>228</v>
      </c>
      <c r="K59" s="17" t="s">
        <v>228</v>
      </c>
      <c r="L59" s="17" t="s">
        <v>228</v>
      </c>
      <c r="M59" s="17" t="s">
        <v>228</v>
      </c>
      <c r="N59" s="17" t="s">
        <v>228</v>
      </c>
      <c r="O59" s="17" t="s">
        <v>228</v>
      </c>
      <c r="P59" s="17" t="s">
        <v>228</v>
      </c>
      <c r="Q59" s="17"/>
      <c r="R59" s="17" t="s">
        <v>228</v>
      </c>
      <c r="S59" s="17" t="s">
        <v>228</v>
      </c>
      <c r="T59" s="17" t="s">
        <v>228</v>
      </c>
      <c r="U59" s="17" t="s">
        <v>228</v>
      </c>
      <c r="V59" s="17" t="s">
        <v>228</v>
      </c>
      <c r="W59" s="17" t="s">
        <v>228</v>
      </c>
      <c r="X59" s="17" t="s">
        <v>228</v>
      </c>
      <c r="Y59" s="17" t="s">
        <v>228</v>
      </c>
      <c r="Z59" s="17" t="s">
        <v>228</v>
      </c>
      <c r="AA59" s="17" t="s">
        <v>228</v>
      </c>
      <c r="AB59" s="17" t="s">
        <v>228</v>
      </c>
      <c r="AC59" s="17" t="s">
        <v>228</v>
      </c>
      <c r="AD59" s="17" t="s">
        <v>228</v>
      </c>
    </row>
    <row r="60" spans="2:30" x14ac:dyDescent="0.2">
      <c r="B60" s="17" t="s">
        <v>229</v>
      </c>
      <c r="C60" s="17" t="s">
        <v>229</v>
      </c>
      <c r="D60" s="17" t="s">
        <v>229</v>
      </c>
      <c r="E60" s="17" t="s">
        <v>229</v>
      </c>
      <c r="F60" s="17" t="s">
        <v>229</v>
      </c>
      <c r="G60" s="17" t="s">
        <v>229</v>
      </c>
      <c r="H60" s="17" t="s">
        <v>229</v>
      </c>
      <c r="I60" s="17" t="s">
        <v>229</v>
      </c>
      <c r="J60" s="17" t="s">
        <v>229</v>
      </c>
      <c r="K60" s="17" t="s">
        <v>229</v>
      </c>
      <c r="L60" s="17" t="s">
        <v>229</v>
      </c>
      <c r="M60" s="17" t="s">
        <v>229</v>
      </c>
      <c r="N60" s="17" t="s">
        <v>229</v>
      </c>
      <c r="O60" s="17" t="s">
        <v>229</v>
      </c>
      <c r="P60" s="17" t="s">
        <v>229</v>
      </c>
      <c r="Q60" s="17"/>
      <c r="R60" s="17" t="s">
        <v>229</v>
      </c>
      <c r="S60" s="17" t="s">
        <v>229</v>
      </c>
      <c r="T60" s="17" t="s">
        <v>229</v>
      </c>
      <c r="U60" s="17" t="s">
        <v>229</v>
      </c>
      <c r="V60" s="17" t="s">
        <v>229</v>
      </c>
      <c r="W60" s="17" t="s">
        <v>229</v>
      </c>
      <c r="X60" s="17" t="s">
        <v>229</v>
      </c>
      <c r="Y60" s="17" t="s">
        <v>229</v>
      </c>
      <c r="Z60" s="17" t="s">
        <v>229</v>
      </c>
      <c r="AA60" s="17" t="s">
        <v>229</v>
      </c>
      <c r="AB60" s="17" t="s">
        <v>229</v>
      </c>
      <c r="AC60" s="17" t="s">
        <v>229</v>
      </c>
      <c r="AD60" s="17" t="s">
        <v>229</v>
      </c>
    </row>
    <row r="61" spans="2:30" x14ac:dyDescent="0.2"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 t="s">
        <v>230</v>
      </c>
      <c r="I61" s="17" t="s">
        <v>230</v>
      </c>
      <c r="J61" s="17" t="s">
        <v>230</v>
      </c>
      <c r="K61" s="17" t="s">
        <v>230</v>
      </c>
      <c r="L61" s="17" t="s">
        <v>230</v>
      </c>
      <c r="M61" s="17" t="s">
        <v>230</v>
      </c>
      <c r="N61" s="17" t="s">
        <v>230</v>
      </c>
      <c r="O61" s="17" t="s">
        <v>230</v>
      </c>
      <c r="P61" s="17" t="s">
        <v>230</v>
      </c>
      <c r="Q61" s="17"/>
      <c r="R61" s="17" t="s">
        <v>230</v>
      </c>
      <c r="S61" s="17" t="s">
        <v>230</v>
      </c>
      <c r="T61" s="17" t="s">
        <v>230</v>
      </c>
      <c r="U61" s="17" t="s">
        <v>230</v>
      </c>
      <c r="V61" s="17" t="s">
        <v>230</v>
      </c>
      <c r="W61" s="17" t="s">
        <v>230</v>
      </c>
      <c r="X61" s="17" t="s">
        <v>230</v>
      </c>
      <c r="Y61" s="17" t="s">
        <v>230</v>
      </c>
      <c r="Z61" s="17" t="s">
        <v>230</v>
      </c>
      <c r="AA61" s="17" t="s">
        <v>230</v>
      </c>
      <c r="AB61" s="17" t="s">
        <v>230</v>
      </c>
      <c r="AC61" s="17" t="s">
        <v>230</v>
      </c>
      <c r="AD61" s="17" t="s">
        <v>230</v>
      </c>
    </row>
    <row r="62" spans="2:30" x14ac:dyDescent="0.2">
      <c r="B62" s="17" t="s">
        <v>231</v>
      </c>
      <c r="C62" s="17" t="s">
        <v>231</v>
      </c>
      <c r="D62" s="17" t="s">
        <v>231</v>
      </c>
      <c r="E62" s="17" t="s">
        <v>231</v>
      </c>
      <c r="F62" s="17" t="s">
        <v>231</v>
      </c>
      <c r="G62" s="17" t="s">
        <v>231</v>
      </c>
      <c r="H62" s="17" t="s">
        <v>231</v>
      </c>
      <c r="I62" s="17" t="s">
        <v>231</v>
      </c>
      <c r="J62" s="17" t="s">
        <v>231</v>
      </c>
      <c r="K62" s="17" t="s">
        <v>231</v>
      </c>
      <c r="L62" s="17" t="s">
        <v>231</v>
      </c>
      <c r="M62" s="17" t="s">
        <v>231</v>
      </c>
      <c r="N62" s="17" t="s">
        <v>231</v>
      </c>
      <c r="O62" s="17" t="s">
        <v>231</v>
      </c>
      <c r="P62" s="17" t="s">
        <v>231</v>
      </c>
      <c r="Q62" s="17"/>
      <c r="R62" s="17" t="s">
        <v>231</v>
      </c>
      <c r="S62" s="17" t="s">
        <v>231</v>
      </c>
      <c r="T62" s="17" t="s">
        <v>231</v>
      </c>
      <c r="U62" s="17" t="s">
        <v>231</v>
      </c>
      <c r="V62" s="17" t="s">
        <v>231</v>
      </c>
      <c r="W62" s="17" t="s">
        <v>231</v>
      </c>
      <c r="X62" s="17" t="s">
        <v>231</v>
      </c>
      <c r="Y62" s="17" t="s">
        <v>231</v>
      </c>
      <c r="Z62" s="17" t="s">
        <v>231</v>
      </c>
      <c r="AA62" s="17" t="s">
        <v>231</v>
      </c>
      <c r="AB62" s="17" t="s">
        <v>231</v>
      </c>
      <c r="AC62" s="17" t="s">
        <v>231</v>
      </c>
      <c r="AD62" s="17" t="s">
        <v>231</v>
      </c>
    </row>
    <row r="63" spans="2:30" x14ac:dyDescent="0.2">
      <c r="B63" s="17" t="s">
        <v>232</v>
      </c>
      <c r="C63" s="17" t="s">
        <v>232</v>
      </c>
      <c r="D63" s="17" t="s">
        <v>232</v>
      </c>
      <c r="E63" s="17" t="s">
        <v>232</v>
      </c>
      <c r="F63" s="17" t="s">
        <v>232</v>
      </c>
      <c r="G63" s="17" t="s">
        <v>232</v>
      </c>
      <c r="H63" s="17" t="s">
        <v>232</v>
      </c>
      <c r="I63" s="17" t="s">
        <v>232</v>
      </c>
      <c r="J63" s="17" t="s">
        <v>232</v>
      </c>
      <c r="K63" s="17" t="s">
        <v>232</v>
      </c>
      <c r="L63" s="17" t="s">
        <v>232</v>
      </c>
      <c r="M63" s="17" t="s">
        <v>232</v>
      </c>
      <c r="N63" s="17" t="s">
        <v>232</v>
      </c>
      <c r="O63" s="17" t="s">
        <v>232</v>
      </c>
      <c r="P63" s="17" t="s">
        <v>232</v>
      </c>
      <c r="Q63" s="17"/>
      <c r="R63" s="17" t="s">
        <v>232</v>
      </c>
      <c r="S63" s="17" t="s">
        <v>232</v>
      </c>
      <c r="T63" s="17" t="s">
        <v>232</v>
      </c>
      <c r="U63" s="17" t="s">
        <v>232</v>
      </c>
      <c r="V63" s="17" t="s">
        <v>232</v>
      </c>
      <c r="W63" s="17" t="s">
        <v>232</v>
      </c>
      <c r="X63" s="17" t="s">
        <v>232</v>
      </c>
      <c r="Y63" s="17" t="s">
        <v>232</v>
      </c>
      <c r="Z63" s="17" t="s">
        <v>232</v>
      </c>
      <c r="AA63" s="17" t="s">
        <v>232</v>
      </c>
      <c r="AB63" s="17" t="s">
        <v>232</v>
      </c>
      <c r="AC63" s="17" t="s">
        <v>232</v>
      </c>
      <c r="AD63" s="17" t="s">
        <v>232</v>
      </c>
    </row>
    <row r="64" spans="2:30" x14ac:dyDescent="0.2">
      <c r="B64" s="17" t="s">
        <v>233</v>
      </c>
      <c r="C64" s="17" t="s">
        <v>233</v>
      </c>
      <c r="D64" s="17" t="s">
        <v>233</v>
      </c>
      <c r="E64" s="17" t="s">
        <v>233</v>
      </c>
      <c r="F64" s="17" t="s">
        <v>233</v>
      </c>
      <c r="G64" s="17" t="s">
        <v>233</v>
      </c>
      <c r="H64" s="17" t="s">
        <v>233</v>
      </c>
      <c r="I64" s="17" t="s">
        <v>233</v>
      </c>
      <c r="J64" s="17" t="s">
        <v>233</v>
      </c>
      <c r="K64" s="17" t="s">
        <v>233</v>
      </c>
      <c r="L64" s="17" t="s">
        <v>233</v>
      </c>
      <c r="M64" s="17" t="s">
        <v>233</v>
      </c>
      <c r="N64" s="17" t="s">
        <v>233</v>
      </c>
      <c r="O64" s="17" t="s">
        <v>233</v>
      </c>
      <c r="P64" s="17" t="s">
        <v>233</v>
      </c>
      <c r="Q64" s="17"/>
      <c r="R64" s="17" t="s">
        <v>233</v>
      </c>
      <c r="S64" s="17" t="s">
        <v>233</v>
      </c>
      <c r="T64" s="17" t="s">
        <v>233</v>
      </c>
      <c r="U64" s="17" t="s">
        <v>233</v>
      </c>
      <c r="V64" s="17" t="s">
        <v>233</v>
      </c>
      <c r="W64" s="17" t="s">
        <v>233</v>
      </c>
      <c r="X64" s="17" t="s">
        <v>233</v>
      </c>
      <c r="Y64" s="17" t="s">
        <v>233</v>
      </c>
      <c r="Z64" s="17" t="s">
        <v>233</v>
      </c>
      <c r="AA64" s="17" t="s">
        <v>233</v>
      </c>
      <c r="AB64" s="17" t="s">
        <v>233</v>
      </c>
      <c r="AC64" s="17" t="s">
        <v>233</v>
      </c>
      <c r="AD64" s="17" t="s">
        <v>233</v>
      </c>
    </row>
    <row r="65" spans="2:30" x14ac:dyDescent="0.2">
      <c r="B65" s="17" t="s">
        <v>234</v>
      </c>
      <c r="C65" s="17" t="s">
        <v>234</v>
      </c>
      <c r="D65" s="17" t="s">
        <v>234</v>
      </c>
      <c r="E65" s="17" t="s">
        <v>234</v>
      </c>
      <c r="F65" s="17" t="s">
        <v>234</v>
      </c>
      <c r="G65" s="17" t="s">
        <v>234</v>
      </c>
      <c r="H65" s="17" t="s">
        <v>234</v>
      </c>
      <c r="I65" s="17" t="s">
        <v>234</v>
      </c>
      <c r="J65" s="17" t="s">
        <v>234</v>
      </c>
      <c r="K65" s="17" t="s">
        <v>234</v>
      </c>
      <c r="L65" s="17" t="s">
        <v>234</v>
      </c>
      <c r="M65" s="17" t="s">
        <v>234</v>
      </c>
      <c r="N65" s="17" t="s">
        <v>234</v>
      </c>
      <c r="O65" s="17" t="s">
        <v>234</v>
      </c>
      <c r="P65" s="17" t="s">
        <v>234</v>
      </c>
      <c r="Q65" s="17"/>
      <c r="R65" s="17" t="s">
        <v>234</v>
      </c>
      <c r="S65" s="17" t="s">
        <v>234</v>
      </c>
      <c r="T65" s="17" t="s">
        <v>234</v>
      </c>
      <c r="U65" s="17" t="s">
        <v>234</v>
      </c>
      <c r="V65" s="17" t="s">
        <v>234</v>
      </c>
      <c r="W65" s="17" t="s">
        <v>234</v>
      </c>
      <c r="X65" s="17" t="s">
        <v>234</v>
      </c>
      <c r="Y65" s="17" t="s">
        <v>234</v>
      </c>
      <c r="Z65" s="17" t="s">
        <v>234</v>
      </c>
      <c r="AA65" s="17" t="s">
        <v>234</v>
      </c>
      <c r="AB65" s="17" t="s">
        <v>234</v>
      </c>
      <c r="AC65" s="17" t="s">
        <v>234</v>
      </c>
      <c r="AD65" s="17" t="s">
        <v>234</v>
      </c>
    </row>
    <row r="66" spans="2:30" x14ac:dyDescent="0.2">
      <c r="B66" s="17" t="s">
        <v>235</v>
      </c>
      <c r="C66" s="17" t="s">
        <v>235</v>
      </c>
      <c r="D66" s="17" t="s">
        <v>235</v>
      </c>
      <c r="E66" s="17" t="s">
        <v>235</v>
      </c>
      <c r="F66" s="17" t="s">
        <v>235</v>
      </c>
      <c r="G66" s="17" t="s">
        <v>235</v>
      </c>
      <c r="H66" s="17" t="s">
        <v>235</v>
      </c>
      <c r="I66" s="17" t="s">
        <v>235</v>
      </c>
      <c r="J66" s="17" t="s">
        <v>235</v>
      </c>
      <c r="K66" s="17" t="s">
        <v>235</v>
      </c>
      <c r="L66" s="17" t="s">
        <v>235</v>
      </c>
      <c r="M66" s="17" t="s">
        <v>235</v>
      </c>
      <c r="N66" s="17" t="s">
        <v>235</v>
      </c>
      <c r="O66" s="17" t="s">
        <v>235</v>
      </c>
      <c r="P66" s="17" t="s">
        <v>235</v>
      </c>
      <c r="Q66" s="17"/>
      <c r="R66" s="17" t="s">
        <v>235</v>
      </c>
      <c r="S66" s="17" t="s">
        <v>235</v>
      </c>
      <c r="T66" s="17" t="s">
        <v>235</v>
      </c>
      <c r="U66" s="17" t="s">
        <v>235</v>
      </c>
      <c r="V66" s="17" t="s">
        <v>235</v>
      </c>
      <c r="W66" s="17" t="s">
        <v>235</v>
      </c>
      <c r="X66" s="17" t="s">
        <v>235</v>
      </c>
      <c r="Y66" s="17" t="s">
        <v>235</v>
      </c>
      <c r="Z66" s="17" t="s">
        <v>235</v>
      </c>
      <c r="AA66" s="17" t="s">
        <v>235</v>
      </c>
      <c r="AB66" s="17" t="s">
        <v>235</v>
      </c>
      <c r="AC66" s="17" t="s">
        <v>235</v>
      </c>
      <c r="AD66" s="17" t="s">
        <v>235</v>
      </c>
    </row>
    <row r="67" spans="2:30" x14ac:dyDescent="0.2">
      <c r="B67" s="17" t="s">
        <v>236</v>
      </c>
      <c r="C67" s="17" t="s">
        <v>236</v>
      </c>
      <c r="D67" s="17" t="s">
        <v>236</v>
      </c>
      <c r="E67" s="17" t="s">
        <v>236</v>
      </c>
      <c r="F67" s="17" t="s">
        <v>236</v>
      </c>
      <c r="G67" s="17" t="s">
        <v>236</v>
      </c>
      <c r="H67" s="17" t="s">
        <v>236</v>
      </c>
      <c r="I67" s="17" t="s">
        <v>236</v>
      </c>
      <c r="J67" s="17" t="s">
        <v>236</v>
      </c>
      <c r="K67" s="17" t="s">
        <v>236</v>
      </c>
      <c r="L67" s="17" t="s">
        <v>236</v>
      </c>
      <c r="M67" s="17" t="s">
        <v>236</v>
      </c>
      <c r="N67" s="17" t="s">
        <v>236</v>
      </c>
      <c r="O67" s="17" t="s">
        <v>236</v>
      </c>
      <c r="P67" s="17" t="s">
        <v>236</v>
      </c>
      <c r="Q67" s="17"/>
      <c r="R67" s="17" t="s">
        <v>236</v>
      </c>
      <c r="S67" s="17" t="s">
        <v>236</v>
      </c>
      <c r="T67" s="17" t="s">
        <v>236</v>
      </c>
      <c r="U67" s="17" t="s">
        <v>236</v>
      </c>
      <c r="V67" s="17" t="s">
        <v>236</v>
      </c>
      <c r="W67" s="17" t="s">
        <v>236</v>
      </c>
      <c r="X67" s="17" t="s">
        <v>236</v>
      </c>
      <c r="Y67" s="17" t="s">
        <v>236</v>
      </c>
      <c r="Z67" s="17" t="s">
        <v>236</v>
      </c>
      <c r="AA67" s="17" t="s">
        <v>236</v>
      </c>
      <c r="AB67" s="17" t="s">
        <v>236</v>
      </c>
      <c r="AC67" s="17" t="s">
        <v>236</v>
      </c>
      <c r="AD67" s="17" t="s">
        <v>236</v>
      </c>
    </row>
    <row r="68" spans="2:30" x14ac:dyDescent="0.2">
      <c r="B68" s="17" t="s">
        <v>237</v>
      </c>
      <c r="C68" s="17" t="s">
        <v>237</v>
      </c>
      <c r="D68" s="17" t="s">
        <v>237</v>
      </c>
      <c r="E68" s="17" t="s">
        <v>237</v>
      </c>
      <c r="F68" s="17" t="s">
        <v>237</v>
      </c>
      <c r="G68" s="17" t="s">
        <v>237</v>
      </c>
      <c r="H68" s="17" t="s">
        <v>237</v>
      </c>
      <c r="I68" s="17" t="s">
        <v>237</v>
      </c>
      <c r="J68" s="17" t="s">
        <v>237</v>
      </c>
      <c r="K68" s="17" t="s">
        <v>237</v>
      </c>
      <c r="L68" s="17" t="s">
        <v>237</v>
      </c>
      <c r="M68" s="17" t="s">
        <v>237</v>
      </c>
      <c r="N68" s="17" t="s">
        <v>237</v>
      </c>
      <c r="O68" s="17" t="s">
        <v>237</v>
      </c>
      <c r="P68" s="17" t="s">
        <v>237</v>
      </c>
      <c r="Q68" s="17"/>
      <c r="R68" s="17" t="s">
        <v>237</v>
      </c>
      <c r="S68" s="17" t="s">
        <v>237</v>
      </c>
      <c r="T68" s="17" t="s">
        <v>237</v>
      </c>
      <c r="U68" s="17" t="s">
        <v>237</v>
      </c>
      <c r="V68" s="17" t="s">
        <v>237</v>
      </c>
      <c r="W68" s="17" t="s">
        <v>237</v>
      </c>
      <c r="X68" s="17" t="s">
        <v>237</v>
      </c>
      <c r="Y68" s="17" t="s">
        <v>237</v>
      </c>
      <c r="Z68" s="17" t="s">
        <v>237</v>
      </c>
      <c r="AA68" s="17" t="s">
        <v>237</v>
      </c>
      <c r="AB68" s="17" t="s">
        <v>237</v>
      </c>
      <c r="AC68" s="17" t="s">
        <v>237</v>
      </c>
      <c r="AD68" s="17" t="s">
        <v>237</v>
      </c>
    </row>
    <row r="69" spans="2:30" x14ac:dyDescent="0.2">
      <c r="B69" s="17" t="s">
        <v>238</v>
      </c>
      <c r="C69" s="17" t="s">
        <v>238</v>
      </c>
      <c r="D69" s="17" t="s">
        <v>238</v>
      </c>
      <c r="E69" s="17" t="s">
        <v>238</v>
      </c>
      <c r="F69" s="17" t="s">
        <v>238</v>
      </c>
      <c r="G69" s="17" t="s">
        <v>238</v>
      </c>
      <c r="H69" s="17" t="s">
        <v>238</v>
      </c>
      <c r="I69" s="17" t="s">
        <v>238</v>
      </c>
      <c r="J69" s="17" t="s">
        <v>238</v>
      </c>
      <c r="K69" s="17" t="s">
        <v>238</v>
      </c>
      <c r="L69" s="17" t="s">
        <v>238</v>
      </c>
      <c r="M69" s="17" t="s">
        <v>238</v>
      </c>
      <c r="N69" s="17" t="s">
        <v>238</v>
      </c>
      <c r="O69" s="17" t="s">
        <v>238</v>
      </c>
      <c r="P69" s="17" t="s">
        <v>238</v>
      </c>
      <c r="Q69" s="17"/>
      <c r="R69" s="17" t="s">
        <v>238</v>
      </c>
      <c r="S69" s="17" t="s">
        <v>238</v>
      </c>
      <c r="T69" s="17" t="s">
        <v>238</v>
      </c>
      <c r="U69" s="17" t="s">
        <v>238</v>
      </c>
      <c r="V69" s="17" t="s">
        <v>238</v>
      </c>
      <c r="W69" s="17" t="s">
        <v>238</v>
      </c>
      <c r="X69" s="17" t="s">
        <v>238</v>
      </c>
      <c r="Y69" s="17" t="s">
        <v>238</v>
      </c>
      <c r="Z69" s="17" t="s">
        <v>238</v>
      </c>
      <c r="AA69" s="17" t="s">
        <v>238</v>
      </c>
      <c r="AB69" s="17" t="s">
        <v>238</v>
      </c>
      <c r="AC69" s="17" t="s">
        <v>238</v>
      </c>
      <c r="AD69" s="17" t="s">
        <v>238</v>
      </c>
    </row>
    <row r="70" spans="2:30" x14ac:dyDescent="0.2">
      <c r="B70" s="17" t="s">
        <v>239</v>
      </c>
      <c r="C70" s="17" t="s">
        <v>239</v>
      </c>
      <c r="D70" s="17" t="s">
        <v>239</v>
      </c>
      <c r="E70" s="17" t="s">
        <v>239</v>
      </c>
      <c r="F70" s="17" t="s">
        <v>239</v>
      </c>
      <c r="G70" s="17" t="s">
        <v>239</v>
      </c>
      <c r="H70" s="17" t="s">
        <v>239</v>
      </c>
      <c r="I70" s="17" t="s">
        <v>239</v>
      </c>
      <c r="J70" s="17" t="s">
        <v>239</v>
      </c>
      <c r="K70" s="17" t="s">
        <v>239</v>
      </c>
      <c r="L70" s="17" t="s">
        <v>239</v>
      </c>
      <c r="M70" s="17" t="s">
        <v>239</v>
      </c>
      <c r="N70" s="17" t="s">
        <v>239</v>
      </c>
      <c r="O70" s="17" t="s">
        <v>239</v>
      </c>
      <c r="P70" s="17" t="s">
        <v>239</v>
      </c>
      <c r="Q70" s="17"/>
      <c r="R70" s="17" t="s">
        <v>239</v>
      </c>
      <c r="S70" s="17" t="s">
        <v>239</v>
      </c>
      <c r="T70" s="17" t="s">
        <v>239</v>
      </c>
      <c r="U70" s="17" t="s">
        <v>239</v>
      </c>
      <c r="V70" s="17" t="s">
        <v>239</v>
      </c>
      <c r="W70" s="17" t="s">
        <v>239</v>
      </c>
      <c r="X70" s="17" t="s">
        <v>239</v>
      </c>
      <c r="Y70" s="17" t="s">
        <v>239</v>
      </c>
      <c r="Z70" s="17" t="s">
        <v>239</v>
      </c>
      <c r="AA70" s="17" t="s">
        <v>239</v>
      </c>
      <c r="AB70" s="17" t="s">
        <v>239</v>
      </c>
      <c r="AC70" s="17" t="s">
        <v>239</v>
      </c>
      <c r="AD70" s="17" t="s">
        <v>239</v>
      </c>
    </row>
    <row r="71" spans="2:30" x14ac:dyDescent="0.2">
      <c r="B71" s="17" t="s">
        <v>240</v>
      </c>
      <c r="C71" s="17" t="s">
        <v>240</v>
      </c>
      <c r="D71" s="17" t="s">
        <v>240</v>
      </c>
      <c r="E71" s="17" t="s">
        <v>240</v>
      </c>
      <c r="F71" s="17" t="s">
        <v>240</v>
      </c>
      <c r="G71" s="17" t="s">
        <v>240</v>
      </c>
      <c r="H71" s="17" t="s">
        <v>240</v>
      </c>
      <c r="I71" s="17" t="s">
        <v>240</v>
      </c>
      <c r="J71" s="17" t="s">
        <v>240</v>
      </c>
      <c r="K71" s="17" t="s">
        <v>240</v>
      </c>
      <c r="L71" s="17" t="s">
        <v>240</v>
      </c>
      <c r="M71" s="17" t="s">
        <v>240</v>
      </c>
      <c r="N71" s="17" t="s">
        <v>240</v>
      </c>
      <c r="O71" s="17" t="s">
        <v>240</v>
      </c>
      <c r="P71" s="17" t="s">
        <v>240</v>
      </c>
      <c r="Q71" s="17"/>
      <c r="R71" s="17" t="s">
        <v>240</v>
      </c>
      <c r="S71" s="17" t="s">
        <v>240</v>
      </c>
      <c r="T71" s="17" t="s">
        <v>240</v>
      </c>
      <c r="U71" s="17" t="s">
        <v>240</v>
      </c>
      <c r="V71" s="17" t="s">
        <v>240</v>
      </c>
      <c r="W71" s="17" t="s">
        <v>240</v>
      </c>
      <c r="X71" s="17" t="s">
        <v>240</v>
      </c>
      <c r="Y71" s="17" t="s">
        <v>240</v>
      </c>
      <c r="Z71" s="17" t="s">
        <v>240</v>
      </c>
      <c r="AA71" s="17" t="s">
        <v>240</v>
      </c>
      <c r="AB71" s="17" t="s">
        <v>240</v>
      </c>
      <c r="AC71" s="17" t="s">
        <v>240</v>
      </c>
      <c r="AD71" s="17" t="s">
        <v>240</v>
      </c>
    </row>
    <row r="72" spans="2:30" x14ac:dyDescent="0.2">
      <c r="B72" s="17" t="s">
        <v>241</v>
      </c>
      <c r="C72" s="17" t="s">
        <v>241</v>
      </c>
      <c r="D72" s="17" t="s">
        <v>241</v>
      </c>
      <c r="E72" s="17" t="s">
        <v>241</v>
      </c>
      <c r="F72" s="17" t="s">
        <v>241</v>
      </c>
      <c r="G72" s="17" t="s">
        <v>241</v>
      </c>
      <c r="H72" s="17" t="s">
        <v>241</v>
      </c>
      <c r="I72" s="17" t="s">
        <v>241</v>
      </c>
      <c r="J72" s="17" t="s">
        <v>241</v>
      </c>
      <c r="K72" s="17" t="s">
        <v>241</v>
      </c>
      <c r="L72" s="17" t="s">
        <v>241</v>
      </c>
      <c r="M72" s="17" t="s">
        <v>241</v>
      </c>
      <c r="N72" s="17" t="s">
        <v>241</v>
      </c>
      <c r="O72" s="17" t="s">
        <v>241</v>
      </c>
      <c r="P72" s="17" t="s">
        <v>241</v>
      </c>
      <c r="Q72" s="17"/>
      <c r="R72" s="17" t="s">
        <v>241</v>
      </c>
      <c r="S72" s="17" t="s">
        <v>241</v>
      </c>
      <c r="T72" s="17" t="s">
        <v>241</v>
      </c>
      <c r="U72" s="17" t="s">
        <v>241</v>
      </c>
      <c r="V72" s="17" t="s">
        <v>241</v>
      </c>
      <c r="W72" s="17" t="s">
        <v>241</v>
      </c>
      <c r="X72" s="17" t="s">
        <v>241</v>
      </c>
      <c r="Y72" s="17" t="s">
        <v>241</v>
      </c>
      <c r="Z72" s="17" t="s">
        <v>241</v>
      </c>
      <c r="AA72" s="17" t="s">
        <v>241</v>
      </c>
      <c r="AB72" s="17" t="s">
        <v>241</v>
      </c>
      <c r="AC72" s="17" t="s">
        <v>241</v>
      </c>
      <c r="AD72" s="17" t="s">
        <v>241</v>
      </c>
    </row>
    <row r="73" spans="2:30" x14ac:dyDescent="0.2">
      <c r="B73" s="17" t="s">
        <v>242</v>
      </c>
      <c r="C73" s="17" t="s">
        <v>242</v>
      </c>
      <c r="D73" s="17" t="s">
        <v>242</v>
      </c>
      <c r="E73" s="17" t="s">
        <v>242</v>
      </c>
      <c r="F73" s="17" t="s">
        <v>242</v>
      </c>
      <c r="G73" s="17" t="s">
        <v>242</v>
      </c>
      <c r="H73" s="17" t="s">
        <v>242</v>
      </c>
      <c r="I73" s="17" t="s">
        <v>242</v>
      </c>
      <c r="J73" s="17" t="s">
        <v>242</v>
      </c>
      <c r="K73" s="17" t="s">
        <v>242</v>
      </c>
      <c r="L73" s="17" t="s">
        <v>242</v>
      </c>
      <c r="M73" s="17" t="s">
        <v>242</v>
      </c>
      <c r="N73" s="17" t="s">
        <v>242</v>
      </c>
      <c r="O73" s="17" t="s">
        <v>242</v>
      </c>
      <c r="P73" s="17" t="s">
        <v>242</v>
      </c>
      <c r="Q73" s="17"/>
      <c r="R73" s="17" t="s">
        <v>242</v>
      </c>
      <c r="S73" s="17" t="s">
        <v>242</v>
      </c>
      <c r="T73" s="17" t="s">
        <v>242</v>
      </c>
      <c r="U73" s="17" t="s">
        <v>242</v>
      </c>
      <c r="V73" s="17" t="s">
        <v>242</v>
      </c>
      <c r="W73" s="17" t="s">
        <v>242</v>
      </c>
      <c r="X73" s="17" t="s">
        <v>242</v>
      </c>
      <c r="Y73" s="17" t="s">
        <v>242</v>
      </c>
      <c r="Z73" s="17" t="s">
        <v>242</v>
      </c>
      <c r="AA73" s="17" t="s">
        <v>242</v>
      </c>
      <c r="AB73" s="17" t="s">
        <v>242</v>
      </c>
      <c r="AC73" s="17" t="s">
        <v>242</v>
      </c>
      <c r="AD73" s="17" t="s">
        <v>242</v>
      </c>
    </row>
    <row r="74" spans="2:30" x14ac:dyDescent="0.2">
      <c r="B74" s="17" t="s">
        <v>243</v>
      </c>
      <c r="C74" s="17" t="s">
        <v>243</v>
      </c>
      <c r="D74" s="17" t="s">
        <v>243</v>
      </c>
      <c r="E74" s="17" t="s">
        <v>243</v>
      </c>
      <c r="F74" s="17" t="s">
        <v>243</v>
      </c>
      <c r="G74" s="17" t="s">
        <v>243</v>
      </c>
      <c r="H74" s="17" t="s">
        <v>243</v>
      </c>
      <c r="I74" s="17" t="s">
        <v>243</v>
      </c>
      <c r="J74" s="17" t="s">
        <v>243</v>
      </c>
      <c r="K74" s="17" t="s">
        <v>243</v>
      </c>
      <c r="L74" s="17" t="s">
        <v>243</v>
      </c>
      <c r="M74" s="17" t="s">
        <v>243</v>
      </c>
      <c r="N74" s="17" t="s">
        <v>243</v>
      </c>
      <c r="O74" s="17" t="s">
        <v>243</v>
      </c>
      <c r="P74" s="17" t="s">
        <v>243</v>
      </c>
      <c r="Q74" s="17"/>
      <c r="R74" s="17" t="s">
        <v>243</v>
      </c>
      <c r="S74" s="17" t="s">
        <v>243</v>
      </c>
      <c r="T74" s="17" t="s">
        <v>243</v>
      </c>
      <c r="U74" s="17" t="s">
        <v>243</v>
      </c>
      <c r="V74" s="17" t="s">
        <v>243</v>
      </c>
      <c r="W74" s="17" t="s">
        <v>243</v>
      </c>
      <c r="X74" s="17" t="s">
        <v>243</v>
      </c>
      <c r="Y74" s="17" t="s">
        <v>243</v>
      </c>
      <c r="Z74" s="17" t="s">
        <v>243</v>
      </c>
      <c r="AA74" s="17" t="s">
        <v>243</v>
      </c>
      <c r="AB74" s="17" t="s">
        <v>243</v>
      </c>
      <c r="AC74" s="17" t="s">
        <v>243</v>
      </c>
      <c r="AD74" s="17" t="s">
        <v>243</v>
      </c>
    </row>
    <row r="75" spans="2:30" x14ac:dyDescent="0.2">
      <c r="B75" s="17" t="s">
        <v>244</v>
      </c>
      <c r="C75" s="17" t="s">
        <v>244</v>
      </c>
      <c r="D75" s="17" t="s">
        <v>244</v>
      </c>
      <c r="E75" s="17" t="s">
        <v>244</v>
      </c>
      <c r="F75" s="17" t="s">
        <v>244</v>
      </c>
      <c r="G75" s="17" t="s">
        <v>244</v>
      </c>
      <c r="H75" s="17" t="s">
        <v>244</v>
      </c>
      <c r="I75" s="17" t="s">
        <v>244</v>
      </c>
      <c r="J75" s="17" t="s">
        <v>244</v>
      </c>
      <c r="K75" s="17" t="s">
        <v>244</v>
      </c>
      <c r="L75" s="17" t="s">
        <v>244</v>
      </c>
      <c r="M75" s="17" t="s">
        <v>244</v>
      </c>
      <c r="N75" s="17" t="s">
        <v>244</v>
      </c>
      <c r="O75" s="17" t="s">
        <v>244</v>
      </c>
      <c r="P75" s="17" t="s">
        <v>244</v>
      </c>
      <c r="Q75" s="17"/>
      <c r="R75" s="17" t="s">
        <v>244</v>
      </c>
      <c r="S75" s="17" t="s">
        <v>244</v>
      </c>
      <c r="T75" s="17" t="s">
        <v>244</v>
      </c>
      <c r="U75" s="17" t="s">
        <v>244</v>
      </c>
      <c r="V75" s="17" t="s">
        <v>244</v>
      </c>
      <c r="W75" s="17" t="s">
        <v>244</v>
      </c>
      <c r="X75" s="17" t="s">
        <v>244</v>
      </c>
      <c r="Y75" s="17" t="s">
        <v>244</v>
      </c>
      <c r="Z75" s="17" t="s">
        <v>244</v>
      </c>
      <c r="AA75" s="17" t="s">
        <v>244</v>
      </c>
      <c r="AB75" s="17" t="s">
        <v>244</v>
      </c>
      <c r="AC75" s="17" t="s">
        <v>244</v>
      </c>
      <c r="AD75" s="17" t="s">
        <v>244</v>
      </c>
    </row>
    <row r="76" spans="2:30" x14ac:dyDescent="0.2">
      <c r="B76" s="17" t="s">
        <v>245</v>
      </c>
      <c r="C76" s="17" t="s">
        <v>245</v>
      </c>
      <c r="D76" s="17" t="s">
        <v>245</v>
      </c>
      <c r="E76" s="17" t="s">
        <v>245</v>
      </c>
      <c r="F76" s="17" t="s">
        <v>245</v>
      </c>
      <c r="G76" s="17" t="s">
        <v>245</v>
      </c>
      <c r="H76" s="17" t="s">
        <v>245</v>
      </c>
      <c r="I76" s="17" t="s">
        <v>245</v>
      </c>
      <c r="J76" s="17" t="s">
        <v>245</v>
      </c>
      <c r="K76" s="17" t="s">
        <v>245</v>
      </c>
      <c r="L76" s="17" t="s">
        <v>245</v>
      </c>
      <c r="M76" s="17" t="s">
        <v>245</v>
      </c>
      <c r="N76" s="17" t="s">
        <v>245</v>
      </c>
      <c r="O76" s="17" t="s">
        <v>245</v>
      </c>
      <c r="P76" s="17" t="s">
        <v>245</v>
      </c>
      <c r="Q76" s="17"/>
      <c r="R76" s="17" t="s">
        <v>245</v>
      </c>
      <c r="S76" s="17" t="s">
        <v>245</v>
      </c>
      <c r="T76" s="17" t="s">
        <v>245</v>
      </c>
      <c r="U76" s="17" t="s">
        <v>245</v>
      </c>
      <c r="V76" s="17" t="s">
        <v>245</v>
      </c>
      <c r="W76" s="17" t="s">
        <v>245</v>
      </c>
      <c r="X76" s="17" t="s">
        <v>245</v>
      </c>
      <c r="Y76" s="17" t="s">
        <v>245</v>
      </c>
      <c r="Z76" s="17" t="s">
        <v>245</v>
      </c>
      <c r="AA76" s="17" t="s">
        <v>245</v>
      </c>
      <c r="AB76" s="17" t="s">
        <v>245</v>
      </c>
      <c r="AC76" s="17" t="s">
        <v>245</v>
      </c>
      <c r="AD76" s="17" t="s">
        <v>245</v>
      </c>
    </row>
    <row r="77" spans="2:30" x14ac:dyDescent="0.2">
      <c r="B77" s="17" t="s">
        <v>246</v>
      </c>
      <c r="C77" s="17" t="s">
        <v>246</v>
      </c>
      <c r="D77" s="17" t="s">
        <v>246</v>
      </c>
      <c r="E77" s="17" t="s">
        <v>246</v>
      </c>
      <c r="F77" s="17" t="s">
        <v>246</v>
      </c>
      <c r="G77" s="17" t="s">
        <v>246</v>
      </c>
      <c r="H77" s="17" t="s">
        <v>246</v>
      </c>
      <c r="I77" s="17" t="s">
        <v>246</v>
      </c>
      <c r="J77" s="17" t="s">
        <v>246</v>
      </c>
      <c r="K77" s="17" t="s">
        <v>246</v>
      </c>
      <c r="L77" s="17" t="s">
        <v>246</v>
      </c>
      <c r="M77" s="17" t="s">
        <v>246</v>
      </c>
      <c r="N77" s="17" t="s">
        <v>246</v>
      </c>
      <c r="O77" s="17" t="s">
        <v>246</v>
      </c>
      <c r="P77" s="17" t="s">
        <v>246</v>
      </c>
      <c r="Q77" s="17"/>
      <c r="R77" s="17" t="s">
        <v>246</v>
      </c>
      <c r="S77" s="17" t="s">
        <v>246</v>
      </c>
      <c r="T77" s="17" t="s">
        <v>246</v>
      </c>
      <c r="U77" s="17" t="s">
        <v>246</v>
      </c>
      <c r="V77" s="17" t="s">
        <v>246</v>
      </c>
      <c r="W77" s="17" t="s">
        <v>246</v>
      </c>
      <c r="X77" s="17" t="s">
        <v>246</v>
      </c>
      <c r="Y77" s="17" t="s">
        <v>246</v>
      </c>
      <c r="Z77" s="17" t="s">
        <v>246</v>
      </c>
      <c r="AA77" s="17" t="s">
        <v>246</v>
      </c>
      <c r="AB77" s="17" t="s">
        <v>246</v>
      </c>
      <c r="AC77" s="17" t="s">
        <v>246</v>
      </c>
      <c r="AD77" s="17" t="s">
        <v>246</v>
      </c>
    </row>
    <row r="78" spans="2:30" x14ac:dyDescent="0.2">
      <c r="B78" s="17" t="s">
        <v>247</v>
      </c>
      <c r="C78" s="17" t="s">
        <v>247</v>
      </c>
      <c r="D78" s="17" t="s">
        <v>247</v>
      </c>
      <c r="E78" s="17" t="s">
        <v>247</v>
      </c>
      <c r="F78" s="17" t="s">
        <v>247</v>
      </c>
      <c r="G78" s="17" t="s">
        <v>247</v>
      </c>
      <c r="H78" s="17" t="s">
        <v>247</v>
      </c>
      <c r="I78" s="17" t="s">
        <v>247</v>
      </c>
      <c r="J78" s="17" t="s">
        <v>247</v>
      </c>
      <c r="K78" s="17" t="s">
        <v>247</v>
      </c>
      <c r="L78" s="17" t="s">
        <v>247</v>
      </c>
      <c r="M78" s="17" t="s">
        <v>247</v>
      </c>
      <c r="N78" s="17" t="s">
        <v>247</v>
      </c>
      <c r="O78" s="17" t="s">
        <v>247</v>
      </c>
      <c r="P78" s="17" t="s">
        <v>247</v>
      </c>
      <c r="Q78" s="17"/>
      <c r="R78" s="17" t="s">
        <v>247</v>
      </c>
      <c r="S78" s="17" t="s">
        <v>247</v>
      </c>
      <c r="T78" s="17" t="s">
        <v>247</v>
      </c>
      <c r="U78" s="17" t="s">
        <v>247</v>
      </c>
      <c r="V78" s="17" t="s">
        <v>247</v>
      </c>
      <c r="W78" s="17" t="s">
        <v>247</v>
      </c>
      <c r="X78" s="17" t="s">
        <v>247</v>
      </c>
      <c r="Y78" s="17" t="s">
        <v>247</v>
      </c>
      <c r="Z78" s="17" t="s">
        <v>247</v>
      </c>
      <c r="AA78" s="17" t="s">
        <v>247</v>
      </c>
      <c r="AB78" s="17" t="s">
        <v>247</v>
      </c>
      <c r="AC78" s="17" t="s">
        <v>247</v>
      </c>
      <c r="AD78" s="17" t="s">
        <v>247</v>
      </c>
    </row>
    <row r="79" spans="2:30" x14ac:dyDescent="0.2">
      <c r="B79" s="17" t="s">
        <v>248</v>
      </c>
      <c r="C79" s="17" t="s">
        <v>248</v>
      </c>
      <c r="D79" s="17" t="s">
        <v>248</v>
      </c>
      <c r="E79" s="17" t="s">
        <v>248</v>
      </c>
      <c r="F79" s="17" t="s">
        <v>248</v>
      </c>
      <c r="G79" s="17" t="s">
        <v>248</v>
      </c>
      <c r="H79" s="17" t="s">
        <v>248</v>
      </c>
      <c r="I79" s="17" t="s">
        <v>248</v>
      </c>
      <c r="J79" s="17" t="s">
        <v>248</v>
      </c>
      <c r="K79" s="17" t="s">
        <v>248</v>
      </c>
      <c r="L79" s="17" t="s">
        <v>248</v>
      </c>
      <c r="M79" s="17" t="s">
        <v>248</v>
      </c>
      <c r="N79" s="17" t="s">
        <v>248</v>
      </c>
      <c r="O79" s="17" t="s">
        <v>248</v>
      </c>
      <c r="P79" s="17" t="s">
        <v>248</v>
      </c>
      <c r="Q79" s="17"/>
      <c r="R79" s="17" t="s">
        <v>248</v>
      </c>
      <c r="S79" s="17" t="s">
        <v>248</v>
      </c>
      <c r="T79" s="17" t="s">
        <v>248</v>
      </c>
      <c r="U79" s="17" t="s">
        <v>248</v>
      </c>
      <c r="V79" s="17" t="s">
        <v>248</v>
      </c>
      <c r="W79" s="17" t="s">
        <v>248</v>
      </c>
      <c r="X79" s="17" t="s">
        <v>248</v>
      </c>
      <c r="Y79" s="17" t="s">
        <v>248</v>
      </c>
      <c r="Z79" s="17" t="s">
        <v>248</v>
      </c>
      <c r="AA79" s="17" t="s">
        <v>248</v>
      </c>
      <c r="AB79" s="17" t="s">
        <v>248</v>
      </c>
      <c r="AC79" s="17" t="s">
        <v>248</v>
      </c>
      <c r="AD79" s="17" t="s">
        <v>248</v>
      </c>
    </row>
    <row r="80" spans="2:30" x14ac:dyDescent="0.2">
      <c r="B80" s="17" t="s">
        <v>249</v>
      </c>
      <c r="C80" s="17" t="s">
        <v>249</v>
      </c>
      <c r="D80" s="17" t="s">
        <v>249</v>
      </c>
      <c r="E80" s="17" t="s">
        <v>249</v>
      </c>
      <c r="F80" s="17" t="s">
        <v>249</v>
      </c>
      <c r="G80" s="17" t="s">
        <v>249</v>
      </c>
      <c r="H80" s="17" t="s">
        <v>249</v>
      </c>
      <c r="I80" s="17" t="s">
        <v>249</v>
      </c>
      <c r="J80" s="17" t="s">
        <v>249</v>
      </c>
      <c r="K80" s="17" t="s">
        <v>249</v>
      </c>
      <c r="L80" s="17" t="s">
        <v>249</v>
      </c>
      <c r="M80" s="17" t="s">
        <v>249</v>
      </c>
      <c r="N80" s="17" t="s">
        <v>249</v>
      </c>
      <c r="O80" s="17" t="s">
        <v>249</v>
      </c>
      <c r="P80" s="17" t="s">
        <v>249</v>
      </c>
      <c r="Q80" s="17"/>
      <c r="R80" s="17" t="s">
        <v>249</v>
      </c>
      <c r="S80" s="17" t="s">
        <v>249</v>
      </c>
      <c r="T80" s="17" t="s">
        <v>249</v>
      </c>
      <c r="U80" s="17" t="s">
        <v>249</v>
      </c>
      <c r="V80" s="17" t="s">
        <v>249</v>
      </c>
      <c r="W80" s="17" t="s">
        <v>249</v>
      </c>
      <c r="X80" s="17" t="s">
        <v>249</v>
      </c>
      <c r="Y80" s="17" t="s">
        <v>249</v>
      </c>
      <c r="Z80" s="17" t="s">
        <v>249</v>
      </c>
      <c r="AA80" s="17" t="s">
        <v>249</v>
      </c>
      <c r="AB80" s="17" t="s">
        <v>249</v>
      </c>
      <c r="AC80" s="17" t="s">
        <v>249</v>
      </c>
      <c r="AD80" s="17" t="s">
        <v>249</v>
      </c>
    </row>
    <row r="81" spans="2:30" x14ac:dyDescent="0.2">
      <c r="B81" s="17" t="s">
        <v>250</v>
      </c>
      <c r="C81" s="17" t="s">
        <v>250</v>
      </c>
      <c r="D81" s="17" t="s">
        <v>250</v>
      </c>
      <c r="E81" s="17" t="s">
        <v>250</v>
      </c>
      <c r="F81" s="17" t="s">
        <v>250</v>
      </c>
      <c r="G81" s="17" t="s">
        <v>250</v>
      </c>
      <c r="H81" s="17" t="s">
        <v>250</v>
      </c>
      <c r="I81" s="17" t="s">
        <v>250</v>
      </c>
      <c r="J81" s="17" t="s">
        <v>250</v>
      </c>
      <c r="K81" s="17" t="s">
        <v>250</v>
      </c>
      <c r="L81" s="17" t="s">
        <v>250</v>
      </c>
      <c r="M81" s="17" t="s">
        <v>250</v>
      </c>
      <c r="N81" s="17" t="s">
        <v>250</v>
      </c>
      <c r="O81" s="17" t="s">
        <v>250</v>
      </c>
      <c r="P81" s="17" t="s">
        <v>250</v>
      </c>
      <c r="Q81" s="17"/>
      <c r="R81" s="17" t="s">
        <v>250</v>
      </c>
      <c r="S81" s="17" t="s">
        <v>250</v>
      </c>
      <c r="T81" s="17" t="s">
        <v>250</v>
      </c>
      <c r="U81" s="17" t="s">
        <v>250</v>
      </c>
      <c r="V81" s="17" t="s">
        <v>250</v>
      </c>
      <c r="W81" s="17" t="s">
        <v>250</v>
      </c>
      <c r="X81" s="17" t="s">
        <v>250</v>
      </c>
      <c r="Y81" s="17" t="s">
        <v>250</v>
      </c>
      <c r="Z81" s="17" t="s">
        <v>250</v>
      </c>
      <c r="AA81" s="17" t="s">
        <v>250</v>
      </c>
      <c r="AB81" s="17" t="s">
        <v>250</v>
      </c>
      <c r="AC81" s="17" t="s">
        <v>250</v>
      </c>
      <c r="AD81" s="17" t="s">
        <v>250</v>
      </c>
    </row>
    <row r="82" spans="2:30" x14ac:dyDescent="0.2">
      <c r="B82" s="17" t="s">
        <v>251</v>
      </c>
      <c r="C82" s="17" t="s">
        <v>251</v>
      </c>
      <c r="D82" s="17" t="s">
        <v>251</v>
      </c>
      <c r="E82" s="17" t="s">
        <v>251</v>
      </c>
      <c r="F82" s="17" t="s">
        <v>251</v>
      </c>
      <c r="G82" s="17" t="s">
        <v>251</v>
      </c>
      <c r="H82" s="17" t="s">
        <v>251</v>
      </c>
      <c r="I82" s="17" t="s">
        <v>251</v>
      </c>
      <c r="J82" s="17" t="s">
        <v>251</v>
      </c>
      <c r="K82" s="17" t="s">
        <v>251</v>
      </c>
      <c r="L82" s="17" t="s">
        <v>251</v>
      </c>
      <c r="M82" s="17" t="s">
        <v>251</v>
      </c>
      <c r="N82" s="17" t="s">
        <v>251</v>
      </c>
      <c r="O82" s="17" t="s">
        <v>251</v>
      </c>
      <c r="P82" s="17" t="s">
        <v>251</v>
      </c>
      <c r="Q82" s="17"/>
      <c r="R82" s="17" t="s">
        <v>251</v>
      </c>
      <c r="S82" s="17" t="s">
        <v>251</v>
      </c>
      <c r="T82" s="17" t="s">
        <v>251</v>
      </c>
      <c r="U82" s="17" t="s">
        <v>251</v>
      </c>
      <c r="V82" s="17" t="s">
        <v>251</v>
      </c>
      <c r="W82" s="17" t="s">
        <v>251</v>
      </c>
      <c r="X82" s="17" t="s">
        <v>251</v>
      </c>
      <c r="Y82" s="17" t="s">
        <v>251</v>
      </c>
      <c r="Z82" s="17" t="s">
        <v>251</v>
      </c>
      <c r="AA82" s="17" t="s">
        <v>251</v>
      </c>
      <c r="AB82" s="17" t="s">
        <v>251</v>
      </c>
      <c r="AC82" s="17" t="s">
        <v>251</v>
      </c>
      <c r="AD82" s="17" t="s">
        <v>251</v>
      </c>
    </row>
    <row r="83" spans="2:30" x14ac:dyDescent="0.2">
      <c r="B83" s="16"/>
      <c r="C83" s="16"/>
    </row>
    <row r="84" spans="2:30" x14ac:dyDescent="0.2">
      <c r="B84" s="16"/>
      <c r="C84" s="16"/>
    </row>
    <row r="85" spans="2:30" x14ac:dyDescent="0.2">
      <c r="B85" s="16"/>
      <c r="C85" s="16"/>
    </row>
    <row r="86" spans="2:30" x14ac:dyDescent="0.2">
      <c r="B86" s="16"/>
      <c r="C86" s="16"/>
    </row>
    <row r="87" spans="2:30" x14ac:dyDescent="0.2">
      <c r="B87" s="16"/>
      <c r="C87" s="16"/>
    </row>
    <row r="88" spans="2:30" x14ac:dyDescent="0.2">
      <c r="B88" s="16"/>
      <c r="C88" s="16"/>
    </row>
    <row r="89" spans="2:30" x14ac:dyDescent="0.2">
      <c r="B89" s="16"/>
      <c r="C89" s="16"/>
    </row>
    <row r="90" spans="2:30" x14ac:dyDescent="0.2">
      <c r="B90" s="16"/>
      <c r="C90" s="16"/>
    </row>
    <row r="91" spans="2:30" x14ac:dyDescent="0.2">
      <c r="B91" s="16"/>
      <c r="C91" s="16"/>
    </row>
    <row r="92" spans="2:30" x14ac:dyDescent="0.2">
      <c r="B92" s="16"/>
      <c r="C92" s="16"/>
    </row>
    <row r="93" spans="2:30" x14ac:dyDescent="0.2">
      <c r="B93" s="16"/>
      <c r="C93" s="16"/>
    </row>
    <row r="94" spans="2:30" x14ac:dyDescent="0.2">
      <c r="B94" s="16"/>
      <c r="C94" s="16"/>
    </row>
    <row r="95" spans="2:30" x14ac:dyDescent="0.2">
      <c r="B95" s="16"/>
      <c r="C95" s="16"/>
    </row>
    <row r="96" spans="2:30" x14ac:dyDescent="0.2">
      <c r="B96" s="16"/>
      <c r="C96" s="16"/>
    </row>
    <row r="97" spans="2:3" x14ac:dyDescent="0.2">
      <c r="B97" s="16"/>
      <c r="C97" s="16"/>
    </row>
    <row r="98" spans="2:3" x14ac:dyDescent="0.2">
      <c r="B98" s="16"/>
      <c r="C98" s="16"/>
    </row>
    <row r="99" spans="2:3" x14ac:dyDescent="0.2">
      <c r="B99" s="16"/>
      <c r="C99" s="16"/>
    </row>
    <row r="100" spans="2:3" x14ac:dyDescent="0.2">
      <c r="B100" s="16"/>
      <c r="C100" s="16"/>
    </row>
    <row r="101" spans="2:3" x14ac:dyDescent="0.2">
      <c r="B101" s="16"/>
      <c r="C101" s="16"/>
    </row>
    <row r="102" spans="2:3" x14ac:dyDescent="0.2">
      <c r="B102" s="16"/>
      <c r="C102" s="16"/>
    </row>
    <row r="103" spans="2:3" x14ac:dyDescent="0.2">
      <c r="B103" s="16"/>
      <c r="C103" s="16"/>
    </row>
    <row r="104" spans="2:3" x14ac:dyDescent="0.2">
      <c r="B104" s="16"/>
      <c r="C104" s="16"/>
    </row>
    <row r="105" spans="2:3" x14ac:dyDescent="0.2">
      <c r="B105" s="16"/>
      <c r="C105" s="16"/>
    </row>
    <row r="106" spans="2:3" x14ac:dyDescent="0.2">
      <c r="B106" s="16"/>
      <c r="C106" s="16"/>
    </row>
    <row r="107" spans="2:3" x14ac:dyDescent="0.2">
      <c r="B107" s="16"/>
      <c r="C107" s="16"/>
    </row>
    <row r="108" spans="2:3" x14ac:dyDescent="0.2">
      <c r="B108" s="16"/>
      <c r="C108" s="16"/>
    </row>
    <row r="109" spans="2:3" x14ac:dyDescent="0.2">
      <c r="B109" s="16"/>
      <c r="C109" s="16"/>
    </row>
    <row r="110" spans="2:3" x14ac:dyDescent="0.2">
      <c r="B110" s="16"/>
      <c r="C110" s="16"/>
    </row>
    <row r="111" spans="2:3" x14ac:dyDescent="0.2">
      <c r="B111" s="16"/>
      <c r="C111" s="16"/>
    </row>
    <row r="112" spans="2:3" x14ac:dyDescent="0.2">
      <c r="B112" s="16"/>
      <c r="C112" s="16"/>
    </row>
    <row r="113" spans="2:3" x14ac:dyDescent="0.2">
      <c r="B113" s="16"/>
      <c r="C113" s="16"/>
    </row>
    <row r="114" spans="2:3" x14ac:dyDescent="0.2">
      <c r="B114" s="16"/>
      <c r="C114" s="16"/>
    </row>
    <row r="115" spans="2:3" x14ac:dyDescent="0.2">
      <c r="B115" s="16"/>
      <c r="C115" s="16"/>
    </row>
    <row r="116" spans="2:3" x14ac:dyDescent="0.2">
      <c r="B116" s="16"/>
      <c r="C116" s="16"/>
    </row>
    <row r="117" spans="2:3" x14ac:dyDescent="0.2">
      <c r="B117" s="16"/>
      <c r="C117" s="16"/>
    </row>
    <row r="118" spans="2:3" x14ac:dyDescent="0.2">
      <c r="B118" s="16"/>
      <c r="C118" s="16"/>
    </row>
    <row r="119" spans="2:3" x14ac:dyDescent="0.2">
      <c r="B119" s="16"/>
      <c r="C119" s="16"/>
    </row>
    <row r="120" spans="2:3" x14ac:dyDescent="0.2">
      <c r="B120" s="16"/>
      <c r="C120" s="16"/>
    </row>
    <row r="121" spans="2:3" x14ac:dyDescent="0.2">
      <c r="B121" s="16"/>
      <c r="C121" s="16"/>
    </row>
    <row r="122" spans="2:3" x14ac:dyDescent="0.2">
      <c r="B122" s="16"/>
      <c r="C122" s="16"/>
    </row>
    <row r="123" spans="2:3" x14ac:dyDescent="0.2">
      <c r="B123" s="16"/>
      <c r="C123" s="16"/>
    </row>
    <row r="124" spans="2:3" x14ac:dyDescent="0.2">
      <c r="B124" s="16"/>
      <c r="C124" s="16"/>
    </row>
    <row r="125" spans="2:3" x14ac:dyDescent="0.2">
      <c r="B125" s="16"/>
      <c r="C125" s="16"/>
    </row>
    <row r="126" spans="2:3" x14ac:dyDescent="0.2">
      <c r="B126" s="16"/>
      <c r="C126" s="16"/>
    </row>
    <row r="127" spans="2:3" x14ac:dyDescent="0.2">
      <c r="B127" s="16"/>
      <c r="C127" s="16"/>
    </row>
    <row r="128" spans="2:3" x14ac:dyDescent="0.2">
      <c r="B128" s="16"/>
      <c r="C128" s="16"/>
    </row>
    <row r="129" spans="2:3" x14ac:dyDescent="0.2">
      <c r="B129" s="16"/>
      <c r="C129" s="16"/>
    </row>
    <row r="130" spans="2:3" x14ac:dyDescent="0.2">
      <c r="B130" s="16"/>
      <c r="C130" s="16"/>
    </row>
    <row r="131" spans="2:3" x14ac:dyDescent="0.2">
      <c r="B131" s="16"/>
      <c r="C131" s="16"/>
    </row>
    <row r="132" spans="2:3" x14ac:dyDescent="0.2">
      <c r="B132" s="16"/>
      <c r="C132" s="16"/>
    </row>
    <row r="133" spans="2:3" x14ac:dyDescent="0.2">
      <c r="B133" s="16"/>
      <c r="C133" s="16"/>
    </row>
    <row r="134" spans="2:3" x14ac:dyDescent="0.2">
      <c r="B134" s="16"/>
      <c r="C134" s="16"/>
    </row>
    <row r="135" spans="2:3" x14ac:dyDescent="0.2">
      <c r="B135" s="16"/>
      <c r="C135" s="16"/>
    </row>
    <row r="136" spans="2:3" x14ac:dyDescent="0.2">
      <c r="B136" s="16"/>
      <c r="C136" s="16"/>
    </row>
    <row r="137" spans="2:3" x14ac:dyDescent="0.2">
      <c r="B137" s="16"/>
      <c r="C137" s="16"/>
    </row>
    <row r="138" spans="2:3" x14ac:dyDescent="0.2">
      <c r="B138" s="16"/>
      <c r="C138" s="16"/>
    </row>
    <row r="139" spans="2:3" x14ac:dyDescent="0.2">
      <c r="B139" s="16"/>
      <c r="C139" s="16"/>
    </row>
    <row r="140" spans="2:3" x14ac:dyDescent="0.2">
      <c r="B140" s="16"/>
      <c r="C140" s="16"/>
    </row>
    <row r="141" spans="2:3" x14ac:dyDescent="0.2">
      <c r="B141" s="16"/>
      <c r="C141" s="16"/>
    </row>
    <row r="142" spans="2:3" x14ac:dyDescent="0.2">
      <c r="B142" s="16"/>
      <c r="C142" s="16"/>
    </row>
    <row r="143" spans="2:3" x14ac:dyDescent="0.2">
      <c r="B143" s="16"/>
      <c r="C143" s="16"/>
    </row>
    <row r="144" spans="2:3" x14ac:dyDescent="0.2">
      <c r="B144" s="16"/>
      <c r="C144" s="16"/>
    </row>
    <row r="145" spans="2:3" x14ac:dyDescent="0.2">
      <c r="B145" s="16"/>
      <c r="C145" s="16"/>
    </row>
    <row r="146" spans="2:3" x14ac:dyDescent="0.2">
      <c r="B146" s="16"/>
      <c r="C146" s="16"/>
    </row>
    <row r="147" spans="2:3" x14ac:dyDescent="0.2">
      <c r="B147" s="16"/>
      <c r="C147" s="16"/>
    </row>
    <row r="148" spans="2:3" x14ac:dyDescent="0.2">
      <c r="B148" s="16"/>
      <c r="C148" s="16"/>
    </row>
    <row r="149" spans="2:3" x14ac:dyDescent="0.2">
      <c r="B149" s="16"/>
      <c r="C149" s="16"/>
    </row>
    <row r="150" spans="2:3" x14ac:dyDescent="0.2">
      <c r="B150" s="16"/>
      <c r="C150" s="16"/>
    </row>
    <row r="151" spans="2:3" x14ac:dyDescent="0.2">
      <c r="B151" s="16"/>
      <c r="C151" s="16"/>
    </row>
    <row r="152" spans="2:3" x14ac:dyDescent="0.2">
      <c r="B152" s="16"/>
      <c r="C152" s="16"/>
    </row>
    <row r="153" spans="2:3" x14ac:dyDescent="0.2">
      <c r="B153" s="16"/>
      <c r="C153" s="16"/>
    </row>
    <row r="154" spans="2:3" x14ac:dyDescent="0.2">
      <c r="B154" s="16"/>
      <c r="C154" s="16"/>
    </row>
    <row r="155" spans="2:3" x14ac:dyDescent="0.2">
      <c r="B155" s="16"/>
      <c r="C155" s="16"/>
    </row>
    <row r="156" spans="2:3" x14ac:dyDescent="0.2">
      <c r="B156" s="16"/>
      <c r="C156" s="16"/>
    </row>
    <row r="157" spans="2:3" x14ac:dyDescent="0.2">
      <c r="B157" s="16"/>
      <c r="C157" s="16"/>
    </row>
    <row r="158" spans="2:3" x14ac:dyDescent="0.2">
      <c r="B158" s="16"/>
      <c r="C158" s="16"/>
    </row>
    <row r="159" spans="2:3" x14ac:dyDescent="0.2">
      <c r="B159" s="16"/>
      <c r="C159" s="16"/>
    </row>
    <row r="160" spans="2:3" x14ac:dyDescent="0.2">
      <c r="B160" s="16"/>
      <c r="C160" s="16"/>
    </row>
    <row r="161" spans="2:3" x14ac:dyDescent="0.2">
      <c r="B161" s="16"/>
      <c r="C161" s="16"/>
    </row>
    <row r="162" spans="2:3" x14ac:dyDescent="0.2">
      <c r="B162" s="16"/>
      <c r="C162" s="16"/>
    </row>
    <row r="163" spans="2:3" x14ac:dyDescent="0.2">
      <c r="B163" s="16"/>
      <c r="C163" s="16"/>
    </row>
    <row r="164" spans="2:3" x14ac:dyDescent="0.2">
      <c r="B164" s="16"/>
      <c r="C164" s="16"/>
    </row>
    <row r="165" spans="2:3" x14ac:dyDescent="0.2">
      <c r="B165" s="16"/>
      <c r="C165" s="16"/>
    </row>
    <row r="166" spans="2:3" x14ac:dyDescent="0.2">
      <c r="B166" s="16"/>
      <c r="C166" s="16"/>
    </row>
    <row r="167" spans="2:3" x14ac:dyDescent="0.2">
      <c r="B167" s="16"/>
      <c r="C167" s="16"/>
    </row>
    <row r="168" spans="2:3" x14ac:dyDescent="0.2">
      <c r="B168" s="16"/>
      <c r="C168" s="16"/>
    </row>
    <row r="169" spans="2:3" x14ac:dyDescent="0.2">
      <c r="B169" s="16"/>
      <c r="C169" s="16"/>
    </row>
    <row r="170" spans="2:3" x14ac:dyDescent="0.2">
      <c r="B170" s="16"/>
      <c r="C170" s="16"/>
    </row>
    <row r="171" spans="2:3" x14ac:dyDescent="0.2">
      <c r="B171" s="16"/>
      <c r="C171" s="16"/>
    </row>
    <row r="172" spans="2:3" x14ac:dyDescent="0.2">
      <c r="B172" s="16"/>
      <c r="C172" s="16"/>
    </row>
    <row r="173" spans="2:3" x14ac:dyDescent="0.2">
      <c r="B173" s="16"/>
      <c r="C173" s="16"/>
    </row>
    <row r="174" spans="2:3" x14ac:dyDescent="0.2">
      <c r="B174" s="16"/>
      <c r="C174" s="16"/>
    </row>
    <row r="175" spans="2:3" x14ac:dyDescent="0.2">
      <c r="B175" s="16"/>
      <c r="C175" s="16"/>
    </row>
    <row r="176" spans="2:3" x14ac:dyDescent="0.2">
      <c r="B176" s="16"/>
      <c r="C176" s="16"/>
    </row>
    <row r="177" spans="2:3" x14ac:dyDescent="0.2">
      <c r="B177" s="16"/>
      <c r="C177" s="16"/>
    </row>
    <row r="178" spans="2:3" x14ac:dyDescent="0.2">
      <c r="B178" s="16"/>
      <c r="C178" s="16"/>
    </row>
    <row r="179" spans="2:3" x14ac:dyDescent="0.2">
      <c r="B179" s="16"/>
      <c r="C179" s="16"/>
    </row>
    <row r="180" spans="2:3" x14ac:dyDescent="0.2">
      <c r="B180" s="16"/>
      <c r="C180" s="16"/>
    </row>
    <row r="181" spans="2:3" x14ac:dyDescent="0.2">
      <c r="B181" s="16"/>
      <c r="C181" s="16"/>
    </row>
    <row r="182" spans="2:3" x14ac:dyDescent="0.2">
      <c r="B182" s="16"/>
      <c r="C182" s="16"/>
    </row>
    <row r="183" spans="2:3" x14ac:dyDescent="0.2">
      <c r="B183" s="16"/>
      <c r="C183" s="16"/>
    </row>
    <row r="184" spans="2:3" x14ac:dyDescent="0.2">
      <c r="B184" s="16"/>
      <c r="C184" s="16"/>
    </row>
    <row r="185" spans="2:3" x14ac:dyDescent="0.2">
      <c r="B185" s="16"/>
      <c r="C185" s="16"/>
    </row>
    <row r="186" spans="2:3" x14ac:dyDescent="0.2">
      <c r="B186" s="16"/>
      <c r="C186" s="16"/>
    </row>
    <row r="187" spans="2:3" x14ac:dyDescent="0.2">
      <c r="B187" s="16"/>
      <c r="C187" s="16"/>
    </row>
    <row r="188" spans="2:3" x14ac:dyDescent="0.2">
      <c r="B188" s="16"/>
      <c r="C188" s="16"/>
    </row>
    <row r="189" spans="2:3" x14ac:dyDescent="0.2">
      <c r="B189" s="16"/>
      <c r="C189" s="16"/>
    </row>
    <row r="190" spans="2:3" x14ac:dyDescent="0.2">
      <c r="B190" s="16"/>
      <c r="C190" s="16"/>
    </row>
    <row r="191" spans="2:3" x14ac:dyDescent="0.2">
      <c r="B191" s="16"/>
      <c r="C191" s="16"/>
    </row>
    <row r="192" spans="2:3" x14ac:dyDescent="0.2">
      <c r="B192" s="16"/>
      <c r="C192" s="16"/>
    </row>
    <row r="193" spans="2:3" x14ac:dyDescent="0.2">
      <c r="B193" s="16"/>
      <c r="C193" s="16"/>
    </row>
    <row r="194" spans="2:3" x14ac:dyDescent="0.2">
      <c r="B194" s="16"/>
      <c r="C194" s="16"/>
    </row>
    <row r="195" spans="2:3" x14ac:dyDescent="0.2">
      <c r="B195" s="16"/>
      <c r="C195" s="16"/>
    </row>
    <row r="196" spans="2:3" x14ac:dyDescent="0.2">
      <c r="B196" s="16"/>
      <c r="C196" s="16"/>
    </row>
    <row r="197" spans="2:3" x14ac:dyDescent="0.2">
      <c r="B197" s="16"/>
      <c r="C197" s="16"/>
    </row>
    <row r="198" spans="2:3" x14ac:dyDescent="0.2">
      <c r="B198" s="16"/>
      <c r="C198" s="16"/>
    </row>
    <row r="199" spans="2:3" x14ac:dyDescent="0.2">
      <c r="B199" s="16"/>
      <c r="C199" s="16"/>
    </row>
    <row r="200" spans="2:3" x14ac:dyDescent="0.2">
      <c r="B200" s="16"/>
      <c r="C200" s="16"/>
    </row>
    <row r="201" spans="2:3" x14ac:dyDescent="0.2">
      <c r="B201" s="16"/>
      <c r="C201" s="16"/>
    </row>
    <row r="202" spans="2:3" x14ac:dyDescent="0.2">
      <c r="B202" s="16"/>
      <c r="C202" s="16"/>
    </row>
    <row r="203" spans="2:3" x14ac:dyDescent="0.2">
      <c r="B203" s="16"/>
      <c r="C203" s="16"/>
    </row>
    <row r="204" spans="2:3" x14ac:dyDescent="0.2">
      <c r="B204" s="16"/>
      <c r="C204" s="16"/>
    </row>
    <row r="205" spans="2:3" x14ac:dyDescent="0.2">
      <c r="B205" s="16"/>
      <c r="C205" s="16"/>
    </row>
    <row r="206" spans="2:3" x14ac:dyDescent="0.2">
      <c r="B206" s="16"/>
      <c r="C206" s="16"/>
    </row>
    <row r="207" spans="2:3" x14ac:dyDescent="0.2">
      <c r="B207" s="16"/>
      <c r="C207" s="16"/>
    </row>
    <row r="208" spans="2:3" x14ac:dyDescent="0.2">
      <c r="B208" s="16"/>
      <c r="C208" s="16"/>
    </row>
    <row r="209" spans="2:3" x14ac:dyDescent="0.2">
      <c r="B209" s="16"/>
      <c r="C209" s="16"/>
    </row>
    <row r="210" spans="2:3" x14ac:dyDescent="0.2">
      <c r="B210" s="16"/>
      <c r="C210" s="16"/>
    </row>
    <row r="211" spans="2:3" x14ac:dyDescent="0.2">
      <c r="B211" s="16"/>
      <c r="C211" s="16"/>
    </row>
    <row r="212" spans="2:3" x14ac:dyDescent="0.2">
      <c r="B212" s="16"/>
      <c r="C212" s="16"/>
    </row>
    <row r="213" spans="2:3" x14ac:dyDescent="0.2">
      <c r="B213" s="16"/>
      <c r="C213" s="16"/>
    </row>
    <row r="214" spans="2:3" x14ac:dyDescent="0.2">
      <c r="B214" s="16"/>
      <c r="C214" s="16"/>
    </row>
    <row r="215" spans="2:3" x14ac:dyDescent="0.2">
      <c r="B215" s="16"/>
      <c r="C215" s="16"/>
    </row>
    <row r="216" spans="2:3" x14ac:dyDescent="0.2">
      <c r="B216" s="16"/>
      <c r="C216" s="16"/>
    </row>
    <row r="217" spans="2:3" x14ac:dyDescent="0.2">
      <c r="B217" s="16"/>
      <c r="C217" s="16"/>
    </row>
    <row r="218" spans="2:3" x14ac:dyDescent="0.2">
      <c r="B218" s="16"/>
      <c r="C218" s="16"/>
    </row>
    <row r="219" spans="2:3" x14ac:dyDescent="0.2">
      <c r="B219" s="16"/>
      <c r="C219" s="16"/>
    </row>
    <row r="220" spans="2:3" x14ac:dyDescent="0.2">
      <c r="B220" s="16"/>
      <c r="C220" s="16"/>
    </row>
    <row r="221" spans="2:3" x14ac:dyDescent="0.2">
      <c r="B221" s="16"/>
      <c r="C221" s="16"/>
    </row>
    <row r="222" spans="2:3" x14ac:dyDescent="0.2">
      <c r="B222" s="16"/>
      <c r="C222" s="16"/>
    </row>
    <row r="223" spans="2:3" x14ac:dyDescent="0.2">
      <c r="B223" s="16"/>
      <c r="C223" s="16"/>
    </row>
    <row r="224" spans="2:3" x14ac:dyDescent="0.2">
      <c r="B224" s="16"/>
      <c r="C224" s="16"/>
    </row>
    <row r="225" spans="2:3" x14ac:dyDescent="0.2">
      <c r="B225" s="16"/>
      <c r="C225" s="16"/>
    </row>
    <row r="226" spans="2:3" x14ac:dyDescent="0.2">
      <c r="B226" s="16"/>
      <c r="C226" s="16"/>
    </row>
    <row r="227" spans="2:3" x14ac:dyDescent="0.2">
      <c r="B227" s="16"/>
      <c r="C227" s="16"/>
    </row>
    <row r="228" spans="2:3" x14ac:dyDescent="0.2">
      <c r="B228" s="16"/>
      <c r="C228" s="16"/>
    </row>
    <row r="229" spans="2:3" x14ac:dyDescent="0.2">
      <c r="B229" s="16"/>
      <c r="C229" s="16"/>
    </row>
    <row r="230" spans="2:3" x14ac:dyDescent="0.2">
      <c r="B230" s="16"/>
      <c r="C230" s="16"/>
    </row>
    <row r="231" spans="2:3" x14ac:dyDescent="0.2">
      <c r="B231" s="16"/>
      <c r="C231" s="16"/>
    </row>
    <row r="232" spans="2:3" x14ac:dyDescent="0.2">
      <c r="B232" s="16"/>
      <c r="C232" s="16"/>
    </row>
    <row r="233" spans="2:3" x14ac:dyDescent="0.2">
      <c r="B233" s="16"/>
      <c r="C233" s="16"/>
    </row>
    <row r="234" spans="2:3" x14ac:dyDescent="0.2">
      <c r="B234" s="16"/>
      <c r="C234" s="16"/>
    </row>
    <row r="235" spans="2:3" x14ac:dyDescent="0.2">
      <c r="B235" s="16"/>
      <c r="C235" s="16"/>
    </row>
    <row r="236" spans="2:3" x14ac:dyDescent="0.2">
      <c r="B236" s="16"/>
      <c r="C236" s="16"/>
    </row>
    <row r="237" spans="2:3" x14ac:dyDescent="0.2">
      <c r="B237" s="16"/>
      <c r="C237" s="16"/>
    </row>
    <row r="238" spans="2:3" x14ac:dyDescent="0.2">
      <c r="B238" s="16"/>
      <c r="C238" s="16"/>
    </row>
    <row r="239" spans="2:3" x14ac:dyDescent="0.2">
      <c r="B239" s="16"/>
      <c r="C239" s="16"/>
    </row>
    <row r="240" spans="2:3" x14ac:dyDescent="0.2">
      <c r="B240" s="16"/>
      <c r="C240" s="16"/>
    </row>
    <row r="241" spans="2:3" x14ac:dyDescent="0.2">
      <c r="B241" s="16"/>
      <c r="C241" s="16"/>
    </row>
    <row r="242" spans="2:3" x14ac:dyDescent="0.2">
      <c r="B242" s="16"/>
      <c r="C242" s="16"/>
    </row>
    <row r="243" spans="2:3" x14ac:dyDescent="0.2">
      <c r="B243" s="16"/>
      <c r="C243" s="16"/>
    </row>
    <row r="244" spans="2:3" x14ac:dyDescent="0.2">
      <c r="B244" s="16"/>
      <c r="C244" s="16"/>
    </row>
    <row r="245" spans="2:3" x14ac:dyDescent="0.2">
      <c r="B245" s="16"/>
      <c r="C245" s="16"/>
    </row>
    <row r="246" spans="2:3" x14ac:dyDescent="0.2">
      <c r="B246" s="16"/>
      <c r="C246" s="16"/>
    </row>
    <row r="247" spans="2:3" x14ac:dyDescent="0.2">
      <c r="B247" s="16"/>
      <c r="C247" s="16"/>
    </row>
    <row r="248" spans="2:3" x14ac:dyDescent="0.2">
      <c r="B248" s="16"/>
      <c r="C248" s="16"/>
    </row>
    <row r="249" spans="2:3" x14ac:dyDescent="0.2">
      <c r="B249" s="16"/>
      <c r="C249" s="16"/>
    </row>
    <row r="250" spans="2:3" x14ac:dyDescent="0.2">
      <c r="B250" s="16"/>
      <c r="C250" s="16"/>
    </row>
    <row r="251" spans="2:3" x14ac:dyDescent="0.2">
      <c r="B251" s="16"/>
      <c r="C251" s="16"/>
    </row>
    <row r="252" spans="2:3" x14ac:dyDescent="0.2">
      <c r="B252" s="16"/>
      <c r="C252" s="16"/>
    </row>
    <row r="253" spans="2:3" x14ac:dyDescent="0.2">
      <c r="B253" s="16"/>
      <c r="C253" s="16"/>
    </row>
    <row r="254" spans="2:3" x14ac:dyDescent="0.2">
      <c r="B254" s="16"/>
      <c r="C254" s="16"/>
    </row>
    <row r="255" spans="2:3" x14ac:dyDescent="0.2">
      <c r="B255" s="16"/>
      <c r="C255" s="16"/>
    </row>
    <row r="256" spans="2:3" x14ac:dyDescent="0.2">
      <c r="B256" s="16"/>
      <c r="C256" s="16"/>
    </row>
    <row r="257" spans="2:3" x14ac:dyDescent="0.2">
      <c r="B257" s="16"/>
      <c r="C257" s="16"/>
    </row>
    <row r="258" spans="2:3" x14ac:dyDescent="0.2">
      <c r="B258" s="16"/>
      <c r="C258" s="16"/>
    </row>
    <row r="259" spans="2:3" x14ac:dyDescent="0.2">
      <c r="B259" s="16"/>
      <c r="C259" s="16"/>
    </row>
    <row r="260" spans="2:3" x14ac:dyDescent="0.2">
      <c r="B260" s="16"/>
      <c r="C260" s="16"/>
    </row>
    <row r="261" spans="2:3" x14ac:dyDescent="0.2">
      <c r="B261" s="16"/>
      <c r="C261" s="16"/>
    </row>
    <row r="262" spans="2:3" x14ac:dyDescent="0.2">
      <c r="B262" s="16"/>
      <c r="C262" s="16"/>
    </row>
    <row r="263" spans="2:3" x14ac:dyDescent="0.2">
      <c r="B263" s="16"/>
      <c r="C263" s="16"/>
    </row>
    <row r="264" spans="2:3" x14ac:dyDescent="0.2">
      <c r="B264" s="16"/>
      <c r="C264" s="16"/>
    </row>
    <row r="265" spans="2:3" x14ac:dyDescent="0.2">
      <c r="B265" s="16"/>
      <c r="C265" s="16"/>
    </row>
    <row r="266" spans="2:3" x14ac:dyDescent="0.2">
      <c r="B266" s="16"/>
      <c r="C266" s="16"/>
    </row>
    <row r="267" spans="2:3" x14ac:dyDescent="0.2">
      <c r="B267" s="16"/>
      <c r="C267" s="16"/>
    </row>
    <row r="268" spans="2:3" x14ac:dyDescent="0.2">
      <c r="B268" s="16"/>
      <c r="C268" s="16"/>
    </row>
    <row r="269" spans="2:3" x14ac:dyDescent="0.2">
      <c r="B269" s="16"/>
      <c r="C269" s="16"/>
    </row>
    <row r="270" spans="2:3" x14ac:dyDescent="0.2">
      <c r="B270" s="16"/>
      <c r="C270" s="16"/>
    </row>
    <row r="271" spans="2:3" x14ac:dyDescent="0.2">
      <c r="B271" s="16"/>
      <c r="C271" s="16"/>
    </row>
    <row r="272" spans="2:3" x14ac:dyDescent="0.2">
      <c r="B272" s="16"/>
      <c r="C272" s="16"/>
    </row>
    <row r="273" spans="2:3" x14ac:dyDescent="0.2">
      <c r="B273" s="16"/>
      <c r="C273" s="16"/>
    </row>
    <row r="274" spans="2:3" x14ac:dyDescent="0.2">
      <c r="B274" s="16"/>
      <c r="C274" s="16"/>
    </row>
    <row r="275" spans="2:3" x14ac:dyDescent="0.2">
      <c r="B275" s="16"/>
      <c r="C275" s="16"/>
    </row>
    <row r="276" spans="2:3" x14ac:dyDescent="0.2">
      <c r="B276" s="16"/>
      <c r="C276" s="16"/>
    </row>
    <row r="277" spans="2:3" x14ac:dyDescent="0.2">
      <c r="B277" s="16"/>
      <c r="C277" s="16"/>
    </row>
    <row r="278" spans="2:3" x14ac:dyDescent="0.2">
      <c r="B278" s="16"/>
      <c r="C278" s="16"/>
    </row>
    <row r="279" spans="2:3" x14ac:dyDescent="0.2">
      <c r="B279" s="16"/>
      <c r="C279" s="16"/>
    </row>
    <row r="280" spans="2:3" x14ac:dyDescent="0.2">
      <c r="B280" s="16"/>
      <c r="C280" s="16"/>
    </row>
    <row r="281" spans="2:3" x14ac:dyDescent="0.2">
      <c r="B281" s="16"/>
      <c r="C281" s="16"/>
    </row>
    <row r="282" spans="2:3" x14ac:dyDescent="0.2">
      <c r="B282" s="16"/>
      <c r="C282" s="16"/>
    </row>
    <row r="283" spans="2:3" x14ac:dyDescent="0.2">
      <c r="B283" s="16"/>
      <c r="C283" s="16"/>
    </row>
    <row r="284" spans="2:3" x14ac:dyDescent="0.2">
      <c r="B284" s="16"/>
      <c r="C284" s="16"/>
    </row>
    <row r="285" spans="2:3" x14ac:dyDescent="0.2">
      <c r="B285" s="16"/>
      <c r="C285" s="16"/>
    </row>
    <row r="286" spans="2:3" x14ac:dyDescent="0.2">
      <c r="B286" s="16"/>
      <c r="C286" s="16"/>
    </row>
    <row r="287" spans="2:3" x14ac:dyDescent="0.2">
      <c r="B287" s="16"/>
      <c r="C287" s="16"/>
    </row>
    <row r="288" spans="2:3" x14ac:dyDescent="0.2">
      <c r="B288" s="16"/>
      <c r="C288" s="16"/>
    </row>
    <row r="289" spans="2:3" x14ac:dyDescent="0.2">
      <c r="B289" s="16"/>
      <c r="C289" s="16"/>
    </row>
    <row r="290" spans="2:3" x14ac:dyDescent="0.2">
      <c r="B290" s="16"/>
      <c r="C290" s="16"/>
    </row>
    <row r="291" spans="2:3" x14ac:dyDescent="0.2">
      <c r="B291" s="16"/>
      <c r="C291" s="16"/>
    </row>
    <row r="292" spans="2:3" x14ac:dyDescent="0.2">
      <c r="B292" s="16"/>
      <c r="C292" s="16"/>
    </row>
    <row r="293" spans="2:3" x14ac:dyDescent="0.2">
      <c r="B293" s="16"/>
      <c r="C293" s="16"/>
    </row>
    <row r="294" spans="2:3" x14ac:dyDescent="0.2">
      <c r="B294" s="16"/>
      <c r="C294" s="16"/>
    </row>
    <row r="295" spans="2:3" x14ac:dyDescent="0.2">
      <c r="B295" s="16"/>
      <c r="C295" s="16"/>
    </row>
    <row r="296" spans="2:3" x14ac:dyDescent="0.2">
      <c r="B296" s="16"/>
      <c r="C296" s="16"/>
    </row>
    <row r="297" spans="2:3" x14ac:dyDescent="0.2">
      <c r="B297" s="16"/>
      <c r="C297" s="16"/>
    </row>
    <row r="298" spans="2:3" x14ac:dyDescent="0.2">
      <c r="B298" s="16"/>
      <c r="C298" s="16"/>
    </row>
    <row r="299" spans="2:3" x14ac:dyDescent="0.2">
      <c r="B299" s="16"/>
      <c r="C299" s="16"/>
    </row>
    <row r="300" spans="2:3" x14ac:dyDescent="0.2">
      <c r="B300" s="16"/>
      <c r="C300" s="16"/>
    </row>
    <row r="301" spans="2:3" x14ac:dyDescent="0.2">
      <c r="B301" s="16"/>
      <c r="C301" s="16"/>
    </row>
    <row r="302" spans="2:3" x14ac:dyDescent="0.2">
      <c r="B302" s="16"/>
      <c r="C302" s="16"/>
    </row>
    <row r="303" spans="2:3" x14ac:dyDescent="0.2">
      <c r="B303" s="16"/>
      <c r="C303" s="16"/>
    </row>
    <row r="304" spans="2:3" x14ac:dyDescent="0.2">
      <c r="B304" s="16"/>
      <c r="C304" s="16"/>
    </row>
    <row r="305" spans="2:3" x14ac:dyDescent="0.2">
      <c r="B305" s="16"/>
      <c r="C305" s="16"/>
    </row>
    <row r="306" spans="2:3" x14ac:dyDescent="0.2">
      <c r="B306" s="16"/>
      <c r="C306" s="16"/>
    </row>
    <row r="307" spans="2:3" x14ac:dyDescent="0.2">
      <c r="B307" s="16"/>
      <c r="C307" s="16"/>
    </row>
    <row r="308" spans="2:3" x14ac:dyDescent="0.2">
      <c r="B308" s="16"/>
      <c r="C308" s="16"/>
    </row>
    <row r="309" spans="2:3" x14ac:dyDescent="0.2">
      <c r="B309" s="16"/>
      <c r="C309" s="16"/>
    </row>
    <row r="310" spans="2:3" x14ac:dyDescent="0.2">
      <c r="B310" s="16"/>
      <c r="C310" s="16"/>
    </row>
    <row r="311" spans="2:3" x14ac:dyDescent="0.2">
      <c r="B311" s="16"/>
      <c r="C311" s="16"/>
    </row>
    <row r="312" spans="2:3" x14ac:dyDescent="0.2">
      <c r="B312" s="16"/>
      <c r="C312" s="16"/>
    </row>
    <row r="313" spans="2:3" x14ac:dyDescent="0.2">
      <c r="B313" s="16"/>
      <c r="C313" s="16"/>
    </row>
    <row r="314" spans="2:3" x14ac:dyDescent="0.2">
      <c r="B314" s="16"/>
      <c r="C314" s="16"/>
    </row>
    <row r="315" spans="2:3" x14ac:dyDescent="0.2">
      <c r="B315" s="16"/>
      <c r="C315" s="16"/>
    </row>
    <row r="316" spans="2:3" x14ac:dyDescent="0.2">
      <c r="B316" s="16"/>
      <c r="C316" s="16"/>
    </row>
    <row r="317" spans="2:3" x14ac:dyDescent="0.2">
      <c r="B317" s="16"/>
      <c r="C317" s="16"/>
    </row>
    <row r="318" spans="2:3" x14ac:dyDescent="0.2">
      <c r="B318" s="16"/>
      <c r="C318" s="16"/>
    </row>
    <row r="319" spans="2:3" x14ac:dyDescent="0.2">
      <c r="B319" s="16"/>
      <c r="C319" s="16"/>
    </row>
    <row r="320" spans="2:3" x14ac:dyDescent="0.2">
      <c r="B320" s="16"/>
      <c r="C320" s="16"/>
    </row>
    <row r="321" spans="2:3" x14ac:dyDescent="0.2">
      <c r="B321" s="16"/>
      <c r="C321" s="16"/>
    </row>
    <row r="322" spans="2:3" x14ac:dyDescent="0.2">
      <c r="B322" s="16"/>
      <c r="C322" s="16"/>
    </row>
    <row r="323" spans="2:3" x14ac:dyDescent="0.2">
      <c r="B323" s="16"/>
      <c r="C323" s="16"/>
    </row>
    <row r="324" spans="2:3" x14ac:dyDescent="0.2">
      <c r="B324" s="16"/>
      <c r="C324" s="16"/>
    </row>
    <row r="325" spans="2:3" x14ac:dyDescent="0.2">
      <c r="B325" s="16"/>
      <c r="C325" s="16"/>
    </row>
    <row r="326" spans="2:3" x14ac:dyDescent="0.2">
      <c r="B326" s="16"/>
      <c r="C326" s="16"/>
    </row>
    <row r="327" spans="2:3" x14ac:dyDescent="0.2">
      <c r="B327" s="16"/>
      <c r="C327" s="16"/>
    </row>
    <row r="328" spans="2:3" x14ac:dyDescent="0.2">
      <c r="B328" s="16"/>
      <c r="C328" s="16"/>
    </row>
    <row r="329" spans="2:3" x14ac:dyDescent="0.2">
      <c r="B329" s="16"/>
      <c r="C329" s="16"/>
    </row>
    <row r="330" spans="2:3" x14ac:dyDescent="0.2">
      <c r="B330" s="16"/>
      <c r="C330" s="16"/>
    </row>
    <row r="331" spans="2:3" x14ac:dyDescent="0.2">
      <c r="B331" s="16"/>
      <c r="C331" s="16"/>
    </row>
    <row r="332" spans="2:3" x14ac:dyDescent="0.2">
      <c r="B332" s="16"/>
      <c r="C332" s="16"/>
    </row>
    <row r="333" spans="2:3" x14ac:dyDescent="0.2">
      <c r="B333" s="16"/>
      <c r="C333" s="16"/>
    </row>
    <row r="334" spans="2:3" x14ac:dyDescent="0.2">
      <c r="B334" s="16"/>
      <c r="C334" s="16"/>
    </row>
    <row r="335" spans="2:3" x14ac:dyDescent="0.2">
      <c r="B335" s="16"/>
      <c r="C335" s="16"/>
    </row>
    <row r="336" spans="2:3" x14ac:dyDescent="0.2">
      <c r="B336" s="16"/>
      <c r="C336" s="16"/>
    </row>
    <row r="337" spans="2:3" x14ac:dyDescent="0.2">
      <c r="B337" s="16"/>
      <c r="C337" s="16"/>
    </row>
    <row r="338" spans="2:3" x14ac:dyDescent="0.2">
      <c r="B338" s="16"/>
      <c r="C338" s="16"/>
    </row>
    <row r="339" spans="2:3" x14ac:dyDescent="0.2">
      <c r="B339" s="16"/>
      <c r="C339" s="16"/>
    </row>
    <row r="340" spans="2:3" x14ac:dyDescent="0.2">
      <c r="B340" s="16"/>
      <c r="C340" s="16"/>
    </row>
    <row r="341" spans="2:3" x14ac:dyDescent="0.2">
      <c r="B341" s="16"/>
      <c r="C341" s="16"/>
    </row>
    <row r="342" spans="2:3" x14ac:dyDescent="0.2">
      <c r="B342" s="16"/>
      <c r="C342" s="16"/>
    </row>
    <row r="343" spans="2:3" x14ac:dyDescent="0.2">
      <c r="B343" s="16"/>
      <c r="C343" s="16"/>
    </row>
    <row r="344" spans="2:3" x14ac:dyDescent="0.2">
      <c r="B344" s="16"/>
      <c r="C344" s="16"/>
    </row>
    <row r="345" spans="2:3" x14ac:dyDescent="0.2">
      <c r="B345" s="16"/>
      <c r="C345" s="16"/>
    </row>
    <row r="346" spans="2:3" x14ac:dyDescent="0.2">
      <c r="B346" s="16"/>
      <c r="C346" s="16"/>
    </row>
    <row r="347" spans="2:3" x14ac:dyDescent="0.2">
      <c r="B347" s="16"/>
      <c r="C347" s="16"/>
    </row>
    <row r="348" spans="2:3" x14ac:dyDescent="0.2">
      <c r="B348" s="16"/>
      <c r="C348" s="16"/>
    </row>
    <row r="349" spans="2:3" x14ac:dyDescent="0.2">
      <c r="B349" s="16"/>
      <c r="C349" s="16"/>
    </row>
    <row r="350" spans="2:3" x14ac:dyDescent="0.2">
      <c r="B350" s="16"/>
      <c r="C350" s="16"/>
    </row>
    <row r="351" spans="2:3" x14ac:dyDescent="0.2">
      <c r="B351" s="16"/>
      <c r="C351" s="16"/>
    </row>
    <row r="352" spans="2:3" x14ac:dyDescent="0.2">
      <c r="B352" s="16"/>
      <c r="C352" s="16"/>
    </row>
    <row r="353" spans="2:3" x14ac:dyDescent="0.2">
      <c r="B353" s="16"/>
      <c r="C353" s="16"/>
    </row>
    <row r="354" spans="2:3" x14ac:dyDescent="0.2">
      <c r="B354" s="16"/>
      <c r="C354" s="16"/>
    </row>
    <row r="355" spans="2:3" x14ac:dyDescent="0.2">
      <c r="B355" s="16"/>
      <c r="C355" s="16"/>
    </row>
    <row r="356" spans="2:3" x14ac:dyDescent="0.2">
      <c r="B356" s="16"/>
      <c r="C356" s="16"/>
    </row>
    <row r="357" spans="2:3" x14ac:dyDescent="0.2">
      <c r="B357" s="16"/>
      <c r="C357" s="16"/>
    </row>
    <row r="358" spans="2:3" x14ac:dyDescent="0.2">
      <c r="B358" s="16"/>
      <c r="C358" s="16"/>
    </row>
    <row r="359" spans="2:3" x14ac:dyDescent="0.2">
      <c r="B359" s="16"/>
      <c r="C359" s="16"/>
    </row>
    <row r="360" spans="2:3" x14ac:dyDescent="0.2">
      <c r="B360" s="16"/>
      <c r="C360" s="16"/>
    </row>
    <row r="361" spans="2:3" x14ac:dyDescent="0.2">
      <c r="B361" s="16"/>
      <c r="C361" s="16"/>
    </row>
    <row r="362" spans="2:3" x14ac:dyDescent="0.2">
      <c r="B362" s="16"/>
      <c r="C362" s="16"/>
    </row>
    <row r="363" spans="2:3" x14ac:dyDescent="0.2">
      <c r="B363" s="16"/>
      <c r="C363" s="16"/>
    </row>
    <row r="364" spans="2:3" x14ac:dyDescent="0.2">
      <c r="B364" s="16"/>
      <c r="C364" s="16"/>
    </row>
    <row r="365" spans="2:3" x14ac:dyDescent="0.2">
      <c r="B365" s="16"/>
      <c r="C365" s="16"/>
    </row>
    <row r="366" spans="2:3" x14ac:dyDescent="0.2">
      <c r="B366" s="16"/>
      <c r="C366" s="16"/>
    </row>
    <row r="367" spans="2:3" x14ac:dyDescent="0.2">
      <c r="B367" s="16"/>
      <c r="C367" s="16"/>
    </row>
    <row r="368" spans="2:3" x14ac:dyDescent="0.2">
      <c r="B368" s="16"/>
      <c r="C368" s="16"/>
    </row>
    <row r="369" spans="2:3" x14ac:dyDescent="0.2">
      <c r="B369" s="16"/>
      <c r="C369" s="16"/>
    </row>
    <row r="370" spans="2:3" x14ac:dyDescent="0.2">
      <c r="B370" s="16"/>
      <c r="C370" s="16"/>
    </row>
    <row r="371" spans="2:3" x14ac:dyDescent="0.2">
      <c r="B371" s="16"/>
      <c r="C371" s="16"/>
    </row>
    <row r="372" spans="2:3" x14ac:dyDescent="0.2">
      <c r="B372" s="16"/>
      <c r="C372" s="16"/>
    </row>
    <row r="373" spans="2:3" x14ac:dyDescent="0.2">
      <c r="B373" s="16"/>
      <c r="C373" s="16"/>
    </row>
    <row r="374" spans="2:3" x14ac:dyDescent="0.2">
      <c r="B374" s="16"/>
      <c r="C374" s="16"/>
    </row>
    <row r="375" spans="2:3" x14ac:dyDescent="0.2">
      <c r="B375" s="16"/>
      <c r="C375" s="16"/>
    </row>
    <row r="376" spans="2:3" x14ac:dyDescent="0.2">
      <c r="B376" s="16"/>
      <c r="C376" s="16"/>
    </row>
    <row r="377" spans="2:3" x14ac:dyDescent="0.2">
      <c r="B377" s="16"/>
      <c r="C377" s="16"/>
    </row>
    <row r="378" spans="2:3" x14ac:dyDescent="0.2">
      <c r="B378" s="16"/>
      <c r="C378" s="16"/>
    </row>
    <row r="379" spans="2:3" x14ac:dyDescent="0.2">
      <c r="B379" s="16"/>
      <c r="C379" s="16"/>
    </row>
    <row r="380" spans="2:3" x14ac:dyDescent="0.2">
      <c r="B380" s="16"/>
      <c r="C380" s="16"/>
    </row>
    <row r="381" spans="2:3" x14ac:dyDescent="0.2">
      <c r="B381" s="16"/>
      <c r="C381" s="16"/>
    </row>
    <row r="382" spans="2:3" x14ac:dyDescent="0.2">
      <c r="B382" s="16"/>
      <c r="C382" s="16"/>
    </row>
    <row r="383" spans="2:3" x14ac:dyDescent="0.2">
      <c r="B383" s="16"/>
      <c r="C383" s="16"/>
    </row>
    <row r="384" spans="2:3" x14ac:dyDescent="0.2">
      <c r="B384" s="16"/>
      <c r="C384" s="16"/>
    </row>
    <row r="385" spans="2:3" x14ac:dyDescent="0.2">
      <c r="B385" s="16"/>
      <c r="C385" s="16"/>
    </row>
    <row r="386" spans="2:3" x14ac:dyDescent="0.2">
      <c r="B386" s="16"/>
      <c r="C386" s="16"/>
    </row>
    <row r="387" spans="2:3" x14ac:dyDescent="0.2">
      <c r="B387" s="16"/>
      <c r="C387" s="16"/>
    </row>
    <row r="388" spans="2:3" x14ac:dyDescent="0.2">
      <c r="B388" s="16"/>
      <c r="C388" s="16"/>
    </row>
    <row r="389" spans="2:3" x14ac:dyDescent="0.2">
      <c r="B389" s="16"/>
      <c r="C389" s="16"/>
    </row>
    <row r="390" spans="2:3" x14ac:dyDescent="0.2">
      <c r="B390" s="16"/>
      <c r="C390" s="16"/>
    </row>
    <row r="391" spans="2:3" x14ac:dyDescent="0.2">
      <c r="B391" s="16"/>
      <c r="C391" s="16"/>
    </row>
    <row r="392" spans="2:3" x14ac:dyDescent="0.2">
      <c r="B392" s="16"/>
      <c r="C392" s="16"/>
    </row>
    <row r="393" spans="2:3" x14ac:dyDescent="0.2">
      <c r="B393" s="16"/>
      <c r="C393" s="16"/>
    </row>
    <row r="394" spans="2:3" x14ac:dyDescent="0.2">
      <c r="B394" s="16"/>
      <c r="C394" s="16"/>
    </row>
    <row r="395" spans="2:3" x14ac:dyDescent="0.2">
      <c r="B395" s="16"/>
      <c r="C395" s="16"/>
    </row>
    <row r="396" spans="2:3" x14ac:dyDescent="0.2">
      <c r="B396" s="16"/>
      <c r="C396" s="16"/>
    </row>
    <row r="397" spans="2:3" x14ac:dyDescent="0.2">
      <c r="B397" s="16"/>
      <c r="C397" s="16"/>
    </row>
    <row r="398" spans="2:3" x14ac:dyDescent="0.2">
      <c r="B398" s="16"/>
      <c r="C398" s="16"/>
    </row>
    <row r="399" spans="2:3" x14ac:dyDescent="0.2">
      <c r="B399" s="16"/>
      <c r="C399" s="16"/>
    </row>
    <row r="400" spans="2:3" x14ac:dyDescent="0.2">
      <c r="B400" s="16"/>
      <c r="C400" s="16"/>
    </row>
    <row r="401" spans="2:3" x14ac:dyDescent="0.2">
      <c r="B401" s="16"/>
      <c r="C401" s="16"/>
    </row>
    <row r="402" spans="2:3" x14ac:dyDescent="0.2">
      <c r="B402" s="16"/>
      <c r="C402" s="16"/>
    </row>
    <row r="403" spans="2:3" x14ac:dyDescent="0.2">
      <c r="B403" s="16"/>
      <c r="C403" s="16"/>
    </row>
    <row r="404" spans="2:3" x14ac:dyDescent="0.2">
      <c r="B404" s="16"/>
      <c r="C404" s="16"/>
    </row>
    <row r="405" spans="2:3" x14ac:dyDescent="0.2">
      <c r="B405" s="16"/>
      <c r="C405" s="16"/>
    </row>
    <row r="406" spans="2:3" x14ac:dyDescent="0.2">
      <c r="B406" s="16"/>
      <c r="C406" s="16"/>
    </row>
    <row r="407" spans="2:3" x14ac:dyDescent="0.2">
      <c r="B407" s="16"/>
      <c r="C407" s="16"/>
    </row>
    <row r="408" spans="2:3" x14ac:dyDescent="0.2">
      <c r="B408" s="16"/>
      <c r="C408" s="16"/>
    </row>
    <row r="409" spans="2:3" x14ac:dyDescent="0.2">
      <c r="B409" s="16"/>
      <c r="C409" s="16"/>
    </row>
    <row r="410" spans="2:3" x14ac:dyDescent="0.2">
      <c r="B410" s="16"/>
      <c r="C410" s="16"/>
    </row>
    <row r="411" spans="2:3" x14ac:dyDescent="0.2">
      <c r="B411" s="16"/>
      <c r="C411" s="16"/>
    </row>
    <row r="412" spans="2:3" x14ac:dyDescent="0.2">
      <c r="B412" s="16"/>
      <c r="C412" s="16"/>
    </row>
    <row r="413" spans="2:3" x14ac:dyDescent="0.2">
      <c r="B413" s="16"/>
      <c r="C413" s="16"/>
    </row>
    <row r="414" spans="2:3" x14ac:dyDescent="0.2">
      <c r="B414" s="16"/>
      <c r="C414" s="16"/>
    </row>
    <row r="415" spans="2:3" x14ac:dyDescent="0.2">
      <c r="B415" s="16"/>
      <c r="C415" s="16"/>
    </row>
    <row r="416" spans="2:3" x14ac:dyDescent="0.2">
      <c r="B416" s="16"/>
      <c r="C416" s="16"/>
    </row>
    <row r="417" spans="2:3" x14ac:dyDescent="0.2">
      <c r="B417" s="16"/>
      <c r="C417" s="16"/>
    </row>
    <row r="418" spans="2:3" x14ac:dyDescent="0.2">
      <c r="B418" s="16"/>
      <c r="C418" s="16"/>
    </row>
    <row r="419" spans="2:3" x14ac:dyDescent="0.2">
      <c r="B419" s="16"/>
      <c r="C419" s="16"/>
    </row>
    <row r="420" spans="2:3" x14ac:dyDescent="0.2">
      <c r="B420" s="16"/>
      <c r="C420" s="16"/>
    </row>
    <row r="421" spans="2:3" x14ac:dyDescent="0.2">
      <c r="B421" s="16"/>
      <c r="C421" s="16"/>
    </row>
    <row r="422" spans="2:3" x14ac:dyDescent="0.2">
      <c r="B422" s="16"/>
      <c r="C422" s="16"/>
    </row>
    <row r="423" spans="2:3" x14ac:dyDescent="0.2">
      <c r="B423" s="16"/>
      <c r="C423" s="16"/>
    </row>
    <row r="424" spans="2:3" x14ac:dyDescent="0.2">
      <c r="B424" s="16"/>
      <c r="C424" s="16"/>
    </row>
    <row r="425" spans="2:3" x14ac:dyDescent="0.2">
      <c r="B425" s="16"/>
      <c r="C425" s="16"/>
    </row>
    <row r="426" spans="2:3" x14ac:dyDescent="0.2">
      <c r="B426" s="16"/>
      <c r="C426" s="16"/>
    </row>
    <row r="427" spans="2:3" x14ac:dyDescent="0.2">
      <c r="B427" s="16"/>
      <c r="C427" s="16"/>
    </row>
    <row r="428" spans="2:3" x14ac:dyDescent="0.2">
      <c r="B428" s="16"/>
      <c r="C428" s="16"/>
    </row>
    <row r="429" spans="2:3" x14ac:dyDescent="0.2">
      <c r="B429" s="16"/>
      <c r="C429" s="16"/>
    </row>
    <row r="430" spans="2:3" x14ac:dyDescent="0.2">
      <c r="B430" s="16"/>
      <c r="C430" s="16"/>
    </row>
    <row r="431" spans="2:3" x14ac:dyDescent="0.2">
      <c r="B431" s="16"/>
      <c r="C431" s="16"/>
    </row>
    <row r="432" spans="2:3" x14ac:dyDescent="0.2">
      <c r="B432" s="16"/>
      <c r="C432" s="16"/>
    </row>
    <row r="433" spans="2:3" x14ac:dyDescent="0.2">
      <c r="B433" s="16"/>
      <c r="C433" s="16"/>
    </row>
    <row r="434" spans="2:3" x14ac:dyDescent="0.2">
      <c r="B434" s="16"/>
      <c r="C434" s="16"/>
    </row>
    <row r="435" spans="2:3" x14ac:dyDescent="0.2">
      <c r="B435" s="16"/>
      <c r="C435" s="16"/>
    </row>
    <row r="436" spans="2:3" x14ac:dyDescent="0.2">
      <c r="B436" s="16"/>
      <c r="C436" s="16"/>
    </row>
    <row r="437" spans="2:3" x14ac:dyDescent="0.2">
      <c r="B437" s="16"/>
      <c r="C437" s="16"/>
    </row>
    <row r="438" spans="2:3" x14ac:dyDescent="0.2">
      <c r="B438" s="16"/>
      <c r="C438" s="16"/>
    </row>
    <row r="439" spans="2:3" x14ac:dyDescent="0.2">
      <c r="B439" s="16"/>
      <c r="C439" s="16"/>
    </row>
    <row r="440" spans="2:3" x14ac:dyDescent="0.2">
      <c r="B440" s="16"/>
      <c r="C440" s="16"/>
    </row>
    <row r="441" spans="2:3" x14ac:dyDescent="0.2">
      <c r="B441" s="16"/>
      <c r="C441" s="16"/>
    </row>
    <row r="442" spans="2:3" x14ac:dyDescent="0.2">
      <c r="B442" s="16"/>
      <c r="C442" s="16"/>
    </row>
    <row r="443" spans="2:3" x14ac:dyDescent="0.2">
      <c r="B443" s="16"/>
      <c r="C443" s="16"/>
    </row>
    <row r="444" spans="2:3" x14ac:dyDescent="0.2">
      <c r="B444" s="16"/>
      <c r="C444" s="16"/>
    </row>
    <row r="445" spans="2:3" x14ac:dyDescent="0.2">
      <c r="B445" s="16"/>
      <c r="C445" s="16"/>
    </row>
    <row r="446" spans="2:3" x14ac:dyDescent="0.2">
      <c r="B446" s="16"/>
      <c r="C446" s="16"/>
    </row>
    <row r="447" spans="2:3" x14ac:dyDescent="0.2">
      <c r="B447" s="16"/>
      <c r="C447" s="16"/>
    </row>
    <row r="448" spans="2:3" x14ac:dyDescent="0.2">
      <c r="B448" s="16"/>
      <c r="C448" s="16"/>
    </row>
    <row r="449" spans="2:3" x14ac:dyDescent="0.2">
      <c r="B449" s="16"/>
      <c r="C449" s="16"/>
    </row>
    <row r="450" spans="2:3" x14ac:dyDescent="0.2">
      <c r="B450" s="16"/>
      <c r="C450" s="16"/>
    </row>
    <row r="451" spans="2:3" x14ac:dyDescent="0.2">
      <c r="B451" s="16"/>
      <c r="C451" s="16"/>
    </row>
    <row r="452" spans="2:3" x14ac:dyDescent="0.2">
      <c r="B452" s="16"/>
      <c r="C452" s="16"/>
    </row>
    <row r="453" spans="2:3" x14ac:dyDescent="0.2">
      <c r="B453" s="16"/>
      <c r="C453" s="16"/>
    </row>
    <row r="454" spans="2:3" x14ac:dyDescent="0.2">
      <c r="B454" s="16"/>
      <c r="C454" s="16"/>
    </row>
    <row r="455" spans="2:3" x14ac:dyDescent="0.2">
      <c r="B455" s="16"/>
      <c r="C455" s="16"/>
    </row>
    <row r="456" spans="2:3" x14ac:dyDescent="0.2">
      <c r="B456" s="16"/>
      <c r="C456" s="16"/>
    </row>
    <row r="457" spans="2:3" x14ac:dyDescent="0.2">
      <c r="B457" s="16"/>
      <c r="C457" s="16"/>
    </row>
    <row r="458" spans="2:3" x14ac:dyDescent="0.2">
      <c r="B458" s="16"/>
      <c r="C458" s="16"/>
    </row>
    <row r="459" spans="2:3" x14ac:dyDescent="0.2">
      <c r="B459" s="16"/>
      <c r="C459" s="16"/>
    </row>
    <row r="460" spans="2:3" x14ac:dyDescent="0.2">
      <c r="B460" s="16"/>
      <c r="C460" s="16"/>
    </row>
    <row r="461" spans="2:3" x14ac:dyDescent="0.2">
      <c r="B461" s="16"/>
      <c r="C461" s="16"/>
    </row>
    <row r="462" spans="2:3" x14ac:dyDescent="0.2">
      <c r="B462" s="16"/>
      <c r="C462" s="16"/>
    </row>
    <row r="463" spans="2:3" x14ac:dyDescent="0.2">
      <c r="B463" s="16"/>
      <c r="C463" s="16"/>
    </row>
    <row r="464" spans="2:3" x14ac:dyDescent="0.2">
      <c r="B464" s="16"/>
      <c r="C464" s="16"/>
    </row>
    <row r="465" spans="2:3" x14ac:dyDescent="0.2">
      <c r="B465" s="16"/>
      <c r="C465" s="16"/>
    </row>
    <row r="466" spans="2:3" x14ac:dyDescent="0.2">
      <c r="B466" s="16"/>
      <c r="C466" s="16"/>
    </row>
    <row r="467" spans="2:3" x14ac:dyDescent="0.2">
      <c r="B467" s="16"/>
      <c r="C467" s="16"/>
    </row>
    <row r="468" spans="2:3" x14ac:dyDescent="0.2">
      <c r="B468" s="16"/>
      <c r="C468" s="16"/>
    </row>
    <row r="469" spans="2:3" x14ac:dyDescent="0.2">
      <c r="B469" s="16"/>
      <c r="C469" s="16"/>
    </row>
    <row r="470" spans="2:3" x14ac:dyDescent="0.2">
      <c r="B470" s="16"/>
      <c r="C470" s="16"/>
    </row>
    <row r="471" spans="2:3" x14ac:dyDescent="0.2">
      <c r="B471" s="16"/>
      <c r="C471" s="16"/>
    </row>
    <row r="472" spans="2:3" x14ac:dyDescent="0.2">
      <c r="B472" s="16"/>
      <c r="C472" s="16"/>
    </row>
    <row r="473" spans="2:3" x14ac:dyDescent="0.2">
      <c r="B473" s="16"/>
      <c r="C473" s="16"/>
    </row>
    <row r="474" spans="2:3" x14ac:dyDescent="0.2">
      <c r="B474" s="16"/>
      <c r="C474" s="16"/>
    </row>
    <row r="475" spans="2:3" x14ac:dyDescent="0.2">
      <c r="B475" s="16"/>
      <c r="C475" s="16"/>
    </row>
    <row r="476" spans="2:3" x14ac:dyDescent="0.2">
      <c r="B476" s="16"/>
      <c r="C476" s="16"/>
    </row>
    <row r="477" spans="2:3" x14ac:dyDescent="0.2">
      <c r="B477" s="16"/>
      <c r="C477" s="16"/>
    </row>
    <row r="478" spans="2:3" x14ac:dyDescent="0.2">
      <c r="B478" s="16"/>
      <c r="C478" s="16"/>
    </row>
    <row r="479" spans="2:3" x14ac:dyDescent="0.2">
      <c r="B479" s="16"/>
      <c r="C479" s="16"/>
    </row>
    <row r="480" spans="2:3" x14ac:dyDescent="0.2">
      <c r="B480" s="16"/>
      <c r="C480" s="16"/>
    </row>
    <row r="481" spans="2:3" x14ac:dyDescent="0.2">
      <c r="B481" s="16"/>
      <c r="C481" s="16"/>
    </row>
    <row r="482" spans="2:3" x14ac:dyDescent="0.2">
      <c r="B482" s="16"/>
      <c r="C482" s="16"/>
    </row>
    <row r="483" spans="2:3" x14ac:dyDescent="0.2">
      <c r="B483" s="16"/>
      <c r="C483" s="16"/>
    </row>
    <row r="484" spans="2:3" x14ac:dyDescent="0.2">
      <c r="B484" s="16"/>
      <c r="C484" s="16"/>
    </row>
    <row r="485" spans="2:3" x14ac:dyDescent="0.2">
      <c r="B485" s="16"/>
      <c r="C485" s="16"/>
    </row>
    <row r="486" spans="2:3" x14ac:dyDescent="0.2">
      <c r="B486" s="16"/>
      <c r="C486" s="16"/>
    </row>
    <row r="487" spans="2:3" x14ac:dyDescent="0.2">
      <c r="B487" s="16"/>
      <c r="C487" s="16"/>
    </row>
    <row r="488" spans="2:3" x14ac:dyDescent="0.2">
      <c r="B488" s="16"/>
      <c r="C488" s="16"/>
    </row>
    <row r="489" spans="2:3" x14ac:dyDescent="0.2">
      <c r="B489" s="16"/>
      <c r="C489" s="16"/>
    </row>
    <row r="490" spans="2:3" x14ac:dyDescent="0.2">
      <c r="B490" s="16"/>
      <c r="C490" s="16"/>
    </row>
    <row r="491" spans="2:3" x14ac:dyDescent="0.2">
      <c r="B491" s="16"/>
      <c r="C491" s="16"/>
    </row>
    <row r="492" spans="2:3" x14ac:dyDescent="0.2">
      <c r="B492" s="16"/>
      <c r="C492" s="16"/>
    </row>
    <row r="493" spans="2:3" x14ac:dyDescent="0.2">
      <c r="B493" s="16"/>
      <c r="C493" s="16"/>
    </row>
    <row r="494" spans="2:3" x14ac:dyDescent="0.2">
      <c r="B494" s="16"/>
      <c r="C494" s="16"/>
    </row>
    <row r="495" spans="2:3" x14ac:dyDescent="0.2">
      <c r="B495" s="16"/>
      <c r="C495" s="16"/>
    </row>
    <row r="496" spans="2:3" x14ac:dyDescent="0.2">
      <c r="B496" s="16"/>
      <c r="C496" s="16"/>
    </row>
    <row r="497" spans="2:3" x14ac:dyDescent="0.2">
      <c r="B497" s="16"/>
      <c r="C497" s="16"/>
    </row>
    <row r="498" spans="2:3" x14ac:dyDescent="0.2">
      <c r="B498" s="16"/>
      <c r="C498" s="16"/>
    </row>
    <row r="499" spans="2:3" x14ac:dyDescent="0.2">
      <c r="B499" s="16"/>
      <c r="C499" s="16"/>
    </row>
    <row r="500" spans="2:3" x14ac:dyDescent="0.2">
      <c r="B500" s="16"/>
      <c r="C500" s="16"/>
    </row>
    <row r="501" spans="2:3" x14ac:dyDescent="0.2">
      <c r="B501" s="16"/>
      <c r="C501" s="16"/>
    </row>
    <row r="502" spans="2:3" x14ac:dyDescent="0.2">
      <c r="B502" s="16"/>
      <c r="C502" s="16"/>
    </row>
    <row r="503" spans="2:3" x14ac:dyDescent="0.2">
      <c r="B503" s="16"/>
      <c r="C503" s="16"/>
    </row>
    <row r="504" spans="2:3" x14ac:dyDescent="0.2">
      <c r="B504" s="16"/>
      <c r="C504" s="16"/>
    </row>
    <row r="505" spans="2:3" x14ac:dyDescent="0.2">
      <c r="B505" s="16"/>
      <c r="C505" s="16"/>
    </row>
    <row r="506" spans="2:3" x14ac:dyDescent="0.2">
      <c r="B506" s="16"/>
      <c r="C506" s="16"/>
    </row>
    <row r="507" spans="2:3" x14ac:dyDescent="0.2">
      <c r="B507" s="16"/>
      <c r="C507" s="16"/>
    </row>
    <row r="508" spans="2:3" x14ac:dyDescent="0.2">
      <c r="B508" s="16"/>
      <c r="C508" s="16"/>
    </row>
    <row r="509" spans="2:3" x14ac:dyDescent="0.2">
      <c r="B509" s="16"/>
      <c r="C509" s="16"/>
    </row>
    <row r="510" spans="2:3" x14ac:dyDescent="0.2">
      <c r="B510" s="16"/>
      <c r="C510" s="16"/>
    </row>
    <row r="511" spans="2:3" x14ac:dyDescent="0.2">
      <c r="B511" s="16"/>
      <c r="C511" s="16"/>
    </row>
    <row r="512" spans="2:3" x14ac:dyDescent="0.2">
      <c r="B512" s="16"/>
      <c r="C512" s="16"/>
    </row>
    <row r="513" spans="2:3" x14ac:dyDescent="0.2">
      <c r="B513" s="16"/>
      <c r="C513" s="16"/>
    </row>
    <row r="514" spans="2:3" x14ac:dyDescent="0.2">
      <c r="B514" s="16"/>
      <c r="C514" s="16"/>
    </row>
    <row r="515" spans="2:3" x14ac:dyDescent="0.2">
      <c r="B515" s="16"/>
      <c r="C515" s="16"/>
    </row>
    <row r="516" spans="2:3" x14ac:dyDescent="0.2">
      <c r="B516" s="16"/>
      <c r="C516" s="16"/>
    </row>
    <row r="517" spans="2:3" x14ac:dyDescent="0.2">
      <c r="B517" s="16"/>
      <c r="C517" s="16"/>
    </row>
    <row r="518" spans="2:3" x14ac:dyDescent="0.2">
      <c r="B518" s="16"/>
      <c r="C518" s="16"/>
    </row>
    <row r="519" spans="2:3" x14ac:dyDescent="0.2">
      <c r="B519" s="16"/>
      <c r="C519" s="16"/>
    </row>
    <row r="520" spans="2:3" x14ac:dyDescent="0.2">
      <c r="B520" s="16"/>
      <c r="C520" s="16"/>
    </row>
    <row r="521" spans="2:3" x14ac:dyDescent="0.2">
      <c r="B521" s="16"/>
      <c r="C521" s="16"/>
    </row>
    <row r="522" spans="2:3" x14ac:dyDescent="0.2">
      <c r="B522" s="16"/>
      <c r="C522" s="16"/>
    </row>
    <row r="523" spans="2:3" x14ac:dyDescent="0.2">
      <c r="B523" s="16"/>
      <c r="C523" s="16"/>
    </row>
    <row r="524" spans="2:3" x14ac:dyDescent="0.2">
      <c r="B524" s="16"/>
      <c r="C524" s="16"/>
    </row>
    <row r="525" spans="2:3" x14ac:dyDescent="0.2">
      <c r="B525" s="16"/>
      <c r="C525" s="16"/>
    </row>
    <row r="526" spans="2:3" x14ac:dyDescent="0.2">
      <c r="B526" s="16"/>
      <c r="C526" s="16"/>
    </row>
    <row r="527" spans="2:3" x14ac:dyDescent="0.2">
      <c r="B527" s="16"/>
      <c r="C527" s="16"/>
    </row>
    <row r="528" spans="2:3" x14ac:dyDescent="0.2">
      <c r="B528" s="16"/>
      <c r="C528" s="16"/>
    </row>
    <row r="529" spans="2:3" x14ac:dyDescent="0.2">
      <c r="B529" s="16"/>
      <c r="C529" s="16"/>
    </row>
    <row r="530" spans="2:3" x14ac:dyDescent="0.2">
      <c r="B530" s="16"/>
      <c r="C530" s="16"/>
    </row>
    <row r="531" spans="2:3" x14ac:dyDescent="0.2">
      <c r="B531" s="16"/>
      <c r="C531" s="16"/>
    </row>
    <row r="532" spans="2:3" x14ac:dyDescent="0.2">
      <c r="B532" s="16"/>
      <c r="C532" s="16"/>
    </row>
    <row r="533" spans="2:3" x14ac:dyDescent="0.2">
      <c r="B533" s="16"/>
      <c r="C533" s="16"/>
    </row>
    <row r="534" spans="2:3" x14ac:dyDescent="0.2">
      <c r="B534" s="16"/>
      <c r="C534" s="16"/>
    </row>
    <row r="535" spans="2:3" x14ac:dyDescent="0.2">
      <c r="B535" s="16"/>
      <c r="C535" s="16"/>
    </row>
    <row r="536" spans="2:3" x14ac:dyDescent="0.2">
      <c r="B536" s="16"/>
      <c r="C536" s="16"/>
    </row>
    <row r="537" spans="2:3" x14ac:dyDescent="0.2">
      <c r="B537" s="16"/>
      <c r="C537" s="16"/>
    </row>
    <row r="538" spans="2:3" x14ac:dyDescent="0.2">
      <c r="B538" s="16"/>
      <c r="C538" s="16"/>
    </row>
    <row r="539" spans="2:3" x14ac:dyDescent="0.2">
      <c r="B539" s="16"/>
      <c r="C539" s="16"/>
    </row>
    <row r="540" spans="2:3" x14ac:dyDescent="0.2">
      <c r="B540" s="16"/>
      <c r="C540" s="16"/>
    </row>
    <row r="541" spans="2:3" x14ac:dyDescent="0.2">
      <c r="B541" s="16"/>
      <c r="C541" s="16"/>
    </row>
    <row r="542" spans="2:3" x14ac:dyDescent="0.2">
      <c r="B542" s="16"/>
      <c r="C542" s="16"/>
    </row>
    <row r="543" spans="2:3" x14ac:dyDescent="0.2">
      <c r="B543" s="16"/>
      <c r="C543" s="16"/>
    </row>
    <row r="544" spans="2:3" x14ac:dyDescent="0.2">
      <c r="B544" s="16"/>
      <c r="C544" s="16"/>
    </row>
    <row r="545" spans="2:3" x14ac:dyDescent="0.2">
      <c r="B545" s="16"/>
      <c r="C545" s="16"/>
    </row>
    <row r="546" spans="2:3" x14ac:dyDescent="0.2">
      <c r="B546" s="16"/>
      <c r="C546" s="16"/>
    </row>
    <row r="547" spans="2:3" x14ac:dyDescent="0.2">
      <c r="B547" s="16"/>
      <c r="C547" s="16"/>
    </row>
    <row r="548" spans="2:3" x14ac:dyDescent="0.2">
      <c r="B548" s="16"/>
      <c r="C548" s="16"/>
    </row>
    <row r="549" spans="2:3" x14ac:dyDescent="0.2">
      <c r="B549" s="16"/>
      <c r="C549" s="16"/>
    </row>
    <row r="550" spans="2:3" x14ac:dyDescent="0.2">
      <c r="B550" s="16"/>
      <c r="C550" s="16"/>
    </row>
    <row r="551" spans="2:3" x14ac:dyDescent="0.2">
      <c r="B551" s="16"/>
      <c r="C551" s="16"/>
    </row>
    <row r="552" spans="2:3" x14ac:dyDescent="0.2">
      <c r="B552" s="16"/>
      <c r="C552" s="16"/>
    </row>
    <row r="553" spans="2:3" x14ac:dyDescent="0.2">
      <c r="B553" s="16"/>
      <c r="C553" s="16"/>
    </row>
    <row r="554" spans="2:3" x14ac:dyDescent="0.2">
      <c r="B554" s="16"/>
      <c r="C554" s="16"/>
    </row>
    <row r="555" spans="2:3" x14ac:dyDescent="0.2">
      <c r="B555" s="16"/>
      <c r="C555" s="16"/>
    </row>
    <row r="556" spans="2:3" x14ac:dyDescent="0.2">
      <c r="B556" s="16"/>
      <c r="C556" s="16"/>
    </row>
    <row r="557" spans="2:3" x14ac:dyDescent="0.2">
      <c r="B557" s="16"/>
      <c r="C557" s="16"/>
    </row>
    <row r="558" spans="2:3" x14ac:dyDescent="0.2">
      <c r="B558" s="16"/>
      <c r="C558" s="16"/>
    </row>
    <row r="559" spans="2:3" x14ac:dyDescent="0.2">
      <c r="B559" s="16"/>
      <c r="C559" s="16"/>
    </row>
    <row r="560" spans="2:3" x14ac:dyDescent="0.2">
      <c r="B560" s="16"/>
      <c r="C560" s="16"/>
    </row>
    <row r="561" spans="2:3" x14ac:dyDescent="0.2">
      <c r="B561" s="16"/>
      <c r="C561" s="16"/>
    </row>
    <row r="562" spans="2:3" x14ac:dyDescent="0.2">
      <c r="B562" s="16"/>
      <c r="C562" s="16"/>
    </row>
    <row r="563" spans="2:3" x14ac:dyDescent="0.2">
      <c r="B563" s="16"/>
      <c r="C563" s="16"/>
    </row>
    <row r="564" spans="2:3" x14ac:dyDescent="0.2">
      <c r="B564" s="16"/>
      <c r="C564" s="16"/>
    </row>
    <row r="565" spans="2:3" x14ac:dyDescent="0.2">
      <c r="B565" s="16"/>
      <c r="C565" s="16"/>
    </row>
    <row r="566" spans="2:3" x14ac:dyDescent="0.2">
      <c r="B566" s="16"/>
      <c r="C566" s="16"/>
    </row>
    <row r="567" spans="2:3" x14ac:dyDescent="0.2">
      <c r="B567" s="16"/>
      <c r="C567" s="16"/>
    </row>
    <row r="568" spans="2:3" x14ac:dyDescent="0.2">
      <c r="B568" s="16"/>
      <c r="C568" s="16"/>
    </row>
    <row r="569" spans="2:3" x14ac:dyDescent="0.2">
      <c r="B569" s="16"/>
      <c r="C569" s="16"/>
    </row>
    <row r="570" spans="2:3" x14ac:dyDescent="0.2">
      <c r="B570" s="16"/>
      <c r="C570" s="16"/>
    </row>
    <row r="571" spans="2:3" x14ac:dyDescent="0.2">
      <c r="B571" s="16"/>
      <c r="C571" s="16"/>
    </row>
    <row r="572" spans="2:3" x14ac:dyDescent="0.2">
      <c r="B572" s="16"/>
      <c r="C572" s="16"/>
    </row>
    <row r="573" spans="2:3" x14ac:dyDescent="0.2">
      <c r="B573" s="16"/>
      <c r="C573" s="16"/>
    </row>
    <row r="574" spans="2:3" x14ac:dyDescent="0.2">
      <c r="B574" s="16"/>
      <c r="C574" s="16"/>
    </row>
    <row r="575" spans="2:3" x14ac:dyDescent="0.2">
      <c r="B575" s="16"/>
      <c r="C575" s="16"/>
    </row>
    <row r="576" spans="2:3" x14ac:dyDescent="0.2">
      <c r="B576" s="16"/>
      <c r="C576" s="16"/>
    </row>
    <row r="577" spans="2:3" x14ac:dyDescent="0.2">
      <c r="B577" s="16"/>
      <c r="C577" s="16"/>
    </row>
    <row r="578" spans="2:3" x14ac:dyDescent="0.2">
      <c r="B578" s="16"/>
      <c r="C578" s="16"/>
    </row>
    <row r="579" spans="2:3" x14ac:dyDescent="0.2">
      <c r="B579" s="16"/>
      <c r="C579" s="16"/>
    </row>
    <row r="580" spans="2:3" x14ac:dyDescent="0.2">
      <c r="B580" s="16"/>
      <c r="C580" s="16"/>
    </row>
    <row r="581" spans="2:3" x14ac:dyDescent="0.2">
      <c r="B581" s="16"/>
      <c r="C581" s="16"/>
    </row>
    <row r="582" spans="2:3" x14ac:dyDescent="0.2">
      <c r="B582" s="16"/>
      <c r="C582" s="16"/>
    </row>
    <row r="583" spans="2:3" x14ac:dyDescent="0.2">
      <c r="B583" s="16"/>
      <c r="C583" s="16"/>
    </row>
    <row r="584" spans="2:3" x14ac:dyDescent="0.2">
      <c r="B584" s="16"/>
      <c r="C584" s="16"/>
    </row>
    <row r="585" spans="2:3" x14ac:dyDescent="0.2">
      <c r="B585" s="16"/>
      <c r="C585" s="16"/>
    </row>
    <row r="586" spans="2:3" x14ac:dyDescent="0.2">
      <c r="B586" s="16"/>
      <c r="C586" s="16"/>
    </row>
    <row r="587" spans="2:3" x14ac:dyDescent="0.2">
      <c r="B587" s="16"/>
      <c r="C587" s="16"/>
    </row>
    <row r="588" spans="2:3" x14ac:dyDescent="0.2">
      <c r="B588" s="16"/>
      <c r="C588" s="16"/>
    </row>
    <row r="589" spans="2:3" x14ac:dyDescent="0.2">
      <c r="B589" s="16"/>
      <c r="C589" s="16"/>
    </row>
    <row r="590" spans="2:3" x14ac:dyDescent="0.2">
      <c r="B590" s="16"/>
      <c r="C590" s="16"/>
    </row>
    <row r="591" spans="2:3" x14ac:dyDescent="0.2">
      <c r="B591" s="16"/>
      <c r="C591" s="16"/>
    </row>
    <row r="592" spans="2:3" x14ac:dyDescent="0.2">
      <c r="B592" s="16"/>
      <c r="C592" s="16"/>
    </row>
    <row r="593" spans="2:3" x14ac:dyDescent="0.2">
      <c r="B593" s="16"/>
      <c r="C593" s="16"/>
    </row>
    <row r="594" spans="2:3" x14ac:dyDescent="0.2">
      <c r="B594" s="16"/>
      <c r="C594" s="16"/>
    </row>
    <row r="595" spans="2:3" x14ac:dyDescent="0.2">
      <c r="B595" s="16"/>
      <c r="C595" s="16"/>
    </row>
    <row r="596" spans="2:3" x14ac:dyDescent="0.2">
      <c r="B596" s="16"/>
      <c r="C596" s="16"/>
    </row>
    <row r="597" spans="2:3" x14ac:dyDescent="0.2">
      <c r="B597" s="16"/>
      <c r="C597" s="16"/>
    </row>
    <row r="598" spans="2:3" x14ac:dyDescent="0.2">
      <c r="B598" s="16"/>
      <c r="C598" s="16"/>
    </row>
    <row r="599" spans="2:3" x14ac:dyDescent="0.2">
      <c r="B599" s="16"/>
      <c r="C599" s="16"/>
    </row>
    <row r="600" spans="2:3" x14ac:dyDescent="0.2">
      <c r="B600" s="16"/>
      <c r="C600" s="16"/>
    </row>
    <row r="601" spans="2:3" x14ac:dyDescent="0.2">
      <c r="B601" s="16"/>
      <c r="C601" s="16"/>
    </row>
    <row r="602" spans="2:3" x14ac:dyDescent="0.2">
      <c r="B602" s="16"/>
      <c r="C602" s="16"/>
    </row>
    <row r="603" spans="2:3" x14ac:dyDescent="0.2">
      <c r="B603" s="16"/>
      <c r="C603" s="16"/>
    </row>
    <row r="604" spans="2:3" x14ac:dyDescent="0.2">
      <c r="B604" s="16"/>
      <c r="C604" s="16"/>
    </row>
    <row r="605" spans="2:3" x14ac:dyDescent="0.2">
      <c r="B605" s="16"/>
      <c r="C605" s="16"/>
    </row>
    <row r="606" spans="2:3" x14ac:dyDescent="0.2">
      <c r="B606" s="16"/>
      <c r="C606" s="16"/>
    </row>
    <row r="607" spans="2:3" x14ac:dyDescent="0.2">
      <c r="B607" s="16"/>
      <c r="C607" s="16"/>
    </row>
    <row r="608" spans="2:3" x14ac:dyDescent="0.2">
      <c r="B608" s="16"/>
      <c r="C608" s="16"/>
    </row>
    <row r="609" spans="2:3" x14ac:dyDescent="0.2">
      <c r="B609" s="16"/>
      <c r="C609" s="16"/>
    </row>
    <row r="610" spans="2:3" x14ac:dyDescent="0.2">
      <c r="B610" s="16"/>
      <c r="C610" s="16"/>
    </row>
    <row r="611" spans="2:3" x14ac:dyDescent="0.2">
      <c r="B611" s="16"/>
      <c r="C611" s="16"/>
    </row>
    <row r="612" spans="2:3" x14ac:dyDescent="0.2">
      <c r="B612" s="16"/>
      <c r="C612" s="16"/>
    </row>
    <row r="613" spans="2:3" x14ac:dyDescent="0.2">
      <c r="B613" s="16"/>
      <c r="C613" s="16"/>
    </row>
    <row r="614" spans="2:3" x14ac:dyDescent="0.2">
      <c r="B614" s="16"/>
      <c r="C614" s="16"/>
    </row>
    <row r="615" spans="2:3" x14ac:dyDescent="0.2">
      <c r="B615" s="16"/>
      <c r="C615" s="16"/>
    </row>
    <row r="616" spans="2:3" x14ac:dyDescent="0.2">
      <c r="B616" s="16"/>
      <c r="C616" s="16"/>
    </row>
    <row r="617" spans="2:3" x14ac:dyDescent="0.2">
      <c r="B617" s="16"/>
      <c r="C617" s="16"/>
    </row>
    <row r="618" spans="2:3" x14ac:dyDescent="0.2">
      <c r="B618" s="16"/>
      <c r="C618" s="16"/>
    </row>
    <row r="619" spans="2:3" x14ac:dyDescent="0.2">
      <c r="B619" s="16"/>
      <c r="C619" s="16"/>
    </row>
    <row r="620" spans="2:3" x14ac:dyDescent="0.2">
      <c r="B620" s="16"/>
      <c r="C620" s="16"/>
    </row>
    <row r="621" spans="2:3" x14ac:dyDescent="0.2">
      <c r="B621" s="16"/>
      <c r="C621" s="16"/>
    </row>
    <row r="622" spans="2:3" x14ac:dyDescent="0.2">
      <c r="B622" s="16"/>
      <c r="C622" s="16"/>
    </row>
    <row r="623" spans="2:3" x14ac:dyDescent="0.2">
      <c r="B623" s="16"/>
      <c r="C623" s="16"/>
    </row>
    <row r="624" spans="2:3" x14ac:dyDescent="0.2">
      <c r="B624" s="16"/>
      <c r="C624" s="16"/>
    </row>
    <row r="625" spans="2:3" x14ac:dyDescent="0.2">
      <c r="B625" s="16"/>
      <c r="C625" s="16"/>
    </row>
    <row r="626" spans="2:3" x14ac:dyDescent="0.2">
      <c r="B626" s="16"/>
      <c r="C626" s="16"/>
    </row>
    <row r="627" spans="2:3" x14ac:dyDescent="0.2">
      <c r="B627" s="16"/>
      <c r="C627" s="16"/>
    </row>
    <row r="628" spans="2:3" x14ac:dyDescent="0.2">
      <c r="B628" s="16"/>
      <c r="C628" s="16"/>
    </row>
    <row r="629" spans="2:3" x14ac:dyDescent="0.2">
      <c r="B629" s="16"/>
      <c r="C629" s="16"/>
    </row>
    <row r="630" spans="2:3" x14ac:dyDescent="0.2">
      <c r="B630" s="16"/>
      <c r="C630" s="16"/>
    </row>
    <row r="631" spans="2:3" x14ac:dyDescent="0.2">
      <c r="B631" s="16"/>
      <c r="C631" s="16"/>
    </row>
    <row r="632" spans="2:3" x14ac:dyDescent="0.2">
      <c r="B632" s="16"/>
      <c r="C632" s="16"/>
    </row>
    <row r="633" spans="2:3" x14ac:dyDescent="0.2">
      <c r="B633" s="16"/>
      <c r="C633" s="16"/>
    </row>
    <row r="634" spans="2:3" x14ac:dyDescent="0.2">
      <c r="B634" s="16"/>
      <c r="C634" s="16"/>
    </row>
    <row r="635" spans="2:3" x14ac:dyDescent="0.2">
      <c r="B635" s="16"/>
      <c r="C635" s="16"/>
    </row>
    <row r="636" spans="2:3" x14ac:dyDescent="0.2">
      <c r="B636" s="16"/>
      <c r="C636" s="16"/>
    </row>
    <row r="637" spans="2:3" x14ac:dyDescent="0.2">
      <c r="B637" s="16"/>
      <c r="C637" s="16"/>
    </row>
    <row r="638" spans="2:3" x14ac:dyDescent="0.2">
      <c r="B638" s="16"/>
      <c r="C638" s="16"/>
    </row>
    <row r="639" spans="2:3" x14ac:dyDescent="0.2">
      <c r="B639" s="16"/>
      <c r="C639" s="16"/>
    </row>
    <row r="640" spans="2:3" x14ac:dyDescent="0.2">
      <c r="B640" s="16"/>
      <c r="C640" s="16"/>
    </row>
    <row r="641" spans="2:3" x14ac:dyDescent="0.2">
      <c r="B641" s="16"/>
      <c r="C641" s="16"/>
    </row>
    <row r="642" spans="2:3" x14ac:dyDescent="0.2">
      <c r="B642" s="16"/>
      <c r="C642" s="16"/>
    </row>
    <row r="643" spans="2:3" x14ac:dyDescent="0.2">
      <c r="B643" s="16"/>
      <c r="C643" s="16"/>
    </row>
    <row r="644" spans="2:3" x14ac:dyDescent="0.2">
      <c r="B644" s="16"/>
      <c r="C644" s="16"/>
    </row>
    <row r="645" spans="2:3" x14ac:dyDescent="0.2">
      <c r="B645" s="16"/>
      <c r="C645" s="16"/>
    </row>
    <row r="646" spans="2:3" x14ac:dyDescent="0.2">
      <c r="B646" s="16"/>
      <c r="C646" s="16"/>
    </row>
    <row r="647" spans="2:3" x14ac:dyDescent="0.2">
      <c r="B647" s="16"/>
      <c r="C647" s="16"/>
    </row>
    <row r="648" spans="2:3" x14ac:dyDescent="0.2">
      <c r="B648" s="16"/>
      <c r="C648" s="16"/>
    </row>
    <row r="649" spans="2:3" x14ac:dyDescent="0.2">
      <c r="B649" s="16"/>
      <c r="C649" s="16"/>
    </row>
    <row r="650" spans="2:3" x14ac:dyDescent="0.2">
      <c r="B650" s="16"/>
      <c r="C650" s="16"/>
    </row>
    <row r="651" spans="2:3" x14ac:dyDescent="0.2">
      <c r="B651" s="16"/>
      <c r="C651" s="16"/>
    </row>
    <row r="652" spans="2:3" x14ac:dyDescent="0.2">
      <c r="B652" s="16"/>
      <c r="C652" s="16"/>
    </row>
    <row r="653" spans="2:3" x14ac:dyDescent="0.2">
      <c r="B653" s="16"/>
      <c r="C653" s="16"/>
    </row>
    <row r="654" spans="2:3" x14ac:dyDescent="0.2">
      <c r="B654" s="16"/>
      <c r="C654" s="16"/>
    </row>
    <row r="655" spans="2:3" x14ac:dyDescent="0.2">
      <c r="B655" s="16"/>
      <c r="C655" s="16"/>
    </row>
    <row r="656" spans="2:3" x14ac:dyDescent="0.2">
      <c r="B656" s="16"/>
      <c r="C656" s="16"/>
    </row>
    <row r="657" spans="2:3" x14ac:dyDescent="0.2">
      <c r="B657" s="16"/>
      <c r="C657" s="16"/>
    </row>
    <row r="658" spans="2:3" x14ac:dyDescent="0.2">
      <c r="B658" s="16"/>
      <c r="C658" s="16"/>
    </row>
    <row r="659" spans="2:3" x14ac:dyDescent="0.2">
      <c r="B659" s="16"/>
      <c r="C659" s="16"/>
    </row>
    <row r="660" spans="2:3" x14ac:dyDescent="0.2">
      <c r="B660" s="16"/>
      <c r="C660" s="16"/>
    </row>
    <row r="661" spans="2:3" x14ac:dyDescent="0.2">
      <c r="B661" s="16"/>
      <c r="C661" s="16"/>
    </row>
    <row r="662" spans="2:3" x14ac:dyDescent="0.2">
      <c r="B662" s="16"/>
      <c r="C662" s="16"/>
    </row>
    <row r="663" spans="2:3" x14ac:dyDescent="0.2">
      <c r="B663" s="16"/>
      <c r="C663" s="16"/>
    </row>
    <row r="664" spans="2:3" x14ac:dyDescent="0.2">
      <c r="B664" s="16"/>
      <c r="C664" s="16"/>
    </row>
    <row r="665" spans="2:3" x14ac:dyDescent="0.2">
      <c r="B665" s="16"/>
      <c r="C665" s="16"/>
    </row>
    <row r="666" spans="2:3" x14ac:dyDescent="0.2">
      <c r="B666" s="16"/>
      <c r="C666" s="16"/>
    </row>
    <row r="667" spans="2:3" x14ac:dyDescent="0.2">
      <c r="B667" s="16"/>
      <c r="C667" s="16"/>
    </row>
    <row r="668" spans="2:3" x14ac:dyDescent="0.2">
      <c r="B668" s="16"/>
      <c r="C668" s="16"/>
    </row>
    <row r="669" spans="2:3" x14ac:dyDescent="0.2">
      <c r="B669" s="16"/>
      <c r="C669" s="16"/>
    </row>
    <row r="670" spans="2:3" x14ac:dyDescent="0.2">
      <c r="B670" s="16"/>
      <c r="C670" s="16"/>
    </row>
    <row r="671" spans="2:3" x14ac:dyDescent="0.2">
      <c r="B671" s="16"/>
      <c r="C671" s="16"/>
    </row>
    <row r="672" spans="2:3" x14ac:dyDescent="0.2">
      <c r="B672" s="16"/>
      <c r="C672" s="16"/>
    </row>
    <row r="673" spans="2:3" x14ac:dyDescent="0.2">
      <c r="B673" s="16"/>
      <c r="C673" s="16"/>
    </row>
    <row r="674" spans="2:3" x14ac:dyDescent="0.2">
      <c r="B674" s="16"/>
      <c r="C674" s="16"/>
    </row>
    <row r="675" spans="2:3" x14ac:dyDescent="0.2">
      <c r="B675" s="16"/>
      <c r="C675" s="16"/>
    </row>
    <row r="676" spans="2:3" x14ac:dyDescent="0.2">
      <c r="B676" s="16"/>
      <c r="C676" s="16"/>
    </row>
    <row r="677" spans="2:3" x14ac:dyDescent="0.2">
      <c r="B677" s="16"/>
      <c r="C677" s="16"/>
    </row>
    <row r="678" spans="2:3" x14ac:dyDescent="0.2">
      <c r="B678" s="16"/>
      <c r="C678" s="16"/>
    </row>
    <row r="679" spans="2:3" x14ac:dyDescent="0.2">
      <c r="B679" s="16"/>
      <c r="C679" s="16"/>
    </row>
    <row r="680" spans="2:3" x14ac:dyDescent="0.2">
      <c r="B680" s="16"/>
      <c r="C680" s="16"/>
    </row>
    <row r="681" spans="2:3" x14ac:dyDescent="0.2">
      <c r="B681" s="16"/>
      <c r="C681" s="16"/>
    </row>
    <row r="682" spans="2:3" x14ac:dyDescent="0.2">
      <c r="B682" s="16"/>
      <c r="C682" s="16"/>
    </row>
    <row r="683" spans="2:3" x14ac:dyDescent="0.2">
      <c r="B683" s="16"/>
      <c r="C683" s="16"/>
    </row>
    <row r="684" spans="2:3" x14ac:dyDescent="0.2">
      <c r="B684" s="16"/>
      <c r="C684" s="16"/>
    </row>
    <row r="685" spans="2:3" x14ac:dyDescent="0.2">
      <c r="B685" s="16"/>
      <c r="C685" s="16"/>
    </row>
    <row r="686" spans="2:3" x14ac:dyDescent="0.2">
      <c r="B686" s="16"/>
      <c r="C686" s="16"/>
    </row>
    <row r="687" spans="2:3" x14ac:dyDescent="0.2">
      <c r="B687" s="16"/>
      <c r="C687" s="16"/>
    </row>
    <row r="688" spans="2:3" x14ac:dyDescent="0.2">
      <c r="B688" s="16"/>
      <c r="C688" s="16"/>
    </row>
    <row r="689" spans="2:3" x14ac:dyDescent="0.2">
      <c r="B689" s="16"/>
      <c r="C689" s="16"/>
    </row>
    <row r="690" spans="2:3" x14ac:dyDescent="0.2">
      <c r="B690" s="16"/>
      <c r="C690" s="16"/>
    </row>
    <row r="691" spans="2:3" x14ac:dyDescent="0.2">
      <c r="B691" s="16"/>
      <c r="C691" s="16"/>
    </row>
    <row r="692" spans="2:3" x14ac:dyDescent="0.2">
      <c r="B692" s="16"/>
      <c r="C692" s="16"/>
    </row>
    <row r="693" spans="2:3" x14ac:dyDescent="0.2">
      <c r="B693" s="16"/>
      <c r="C693" s="16"/>
    </row>
    <row r="694" spans="2:3" x14ac:dyDescent="0.2">
      <c r="B694" s="16"/>
      <c r="C694" s="16"/>
    </row>
    <row r="695" spans="2:3" x14ac:dyDescent="0.2">
      <c r="B695" s="16"/>
      <c r="C695" s="16"/>
    </row>
    <row r="696" spans="2:3" x14ac:dyDescent="0.2">
      <c r="B696" s="16"/>
      <c r="C696" s="16"/>
    </row>
    <row r="697" spans="2:3" x14ac:dyDescent="0.2">
      <c r="B697" s="16"/>
      <c r="C697" s="16"/>
    </row>
    <row r="698" spans="2:3" x14ac:dyDescent="0.2">
      <c r="B698" s="16"/>
      <c r="C698" s="16"/>
    </row>
    <row r="699" spans="2:3" x14ac:dyDescent="0.2">
      <c r="B699" s="16"/>
      <c r="C699" s="16"/>
    </row>
    <row r="700" spans="2:3" x14ac:dyDescent="0.2">
      <c r="B700" s="16"/>
      <c r="C700" s="16"/>
    </row>
    <row r="701" spans="2:3" x14ac:dyDescent="0.2">
      <c r="B701" s="16"/>
      <c r="C701" s="16"/>
    </row>
    <row r="702" spans="2:3" x14ac:dyDescent="0.2">
      <c r="B702" s="16"/>
      <c r="C702" s="16"/>
    </row>
    <row r="703" spans="2:3" x14ac:dyDescent="0.2">
      <c r="B703" s="16"/>
      <c r="C703" s="16"/>
    </row>
    <row r="704" spans="2:3" x14ac:dyDescent="0.2">
      <c r="B704" s="16"/>
      <c r="C704" s="16"/>
    </row>
    <row r="705" spans="2:3" x14ac:dyDescent="0.2">
      <c r="B705" s="16"/>
      <c r="C705" s="16"/>
    </row>
    <row r="706" spans="2:3" x14ac:dyDescent="0.2">
      <c r="B706" s="16"/>
      <c r="C706" s="16"/>
    </row>
    <row r="707" spans="2:3" x14ac:dyDescent="0.2">
      <c r="B707" s="16"/>
      <c r="C707" s="16"/>
    </row>
    <row r="708" spans="2:3" x14ac:dyDescent="0.2">
      <c r="B708" s="16"/>
      <c r="C708" s="16"/>
    </row>
    <row r="709" spans="2:3" x14ac:dyDescent="0.2">
      <c r="B709" s="16"/>
      <c r="C709" s="16"/>
    </row>
    <row r="710" spans="2:3" x14ac:dyDescent="0.2">
      <c r="B710" s="16"/>
      <c r="C710" s="16"/>
    </row>
    <row r="711" spans="2:3" x14ac:dyDescent="0.2">
      <c r="B711" s="16"/>
      <c r="C711" s="16"/>
    </row>
    <row r="712" spans="2:3" x14ac:dyDescent="0.2">
      <c r="B712" s="16"/>
      <c r="C712" s="16"/>
    </row>
    <row r="713" spans="2:3" x14ac:dyDescent="0.2">
      <c r="B713" s="16"/>
      <c r="C713" s="16"/>
    </row>
    <row r="714" spans="2:3" x14ac:dyDescent="0.2">
      <c r="B714" s="16"/>
      <c r="C714" s="16"/>
    </row>
    <row r="715" spans="2:3" x14ac:dyDescent="0.2">
      <c r="B715" s="16"/>
      <c r="C715" s="16"/>
    </row>
    <row r="716" spans="2:3" x14ac:dyDescent="0.2">
      <c r="B716" s="16"/>
      <c r="C716" s="16"/>
    </row>
    <row r="717" spans="2:3" x14ac:dyDescent="0.2">
      <c r="B717" s="16"/>
      <c r="C717" s="16"/>
    </row>
    <row r="718" spans="2:3" x14ac:dyDescent="0.2">
      <c r="B718" s="16"/>
      <c r="C718" s="16"/>
    </row>
    <row r="719" spans="2:3" x14ac:dyDescent="0.2">
      <c r="B719" s="16"/>
      <c r="C719" s="16"/>
    </row>
    <row r="720" spans="2:3" x14ac:dyDescent="0.2">
      <c r="B720" s="16"/>
      <c r="C720" s="16"/>
    </row>
    <row r="721" spans="2:3" x14ac:dyDescent="0.2">
      <c r="B721" s="16"/>
      <c r="C721" s="16"/>
    </row>
    <row r="722" spans="2:3" x14ac:dyDescent="0.2">
      <c r="B722" s="16"/>
      <c r="C722" s="16"/>
    </row>
    <row r="723" spans="2:3" x14ac:dyDescent="0.2">
      <c r="B723" s="16"/>
      <c r="C723" s="16"/>
    </row>
    <row r="724" spans="2:3" x14ac:dyDescent="0.2">
      <c r="B724" s="16"/>
      <c r="C724" s="16"/>
    </row>
    <row r="725" spans="2:3" x14ac:dyDescent="0.2">
      <c r="B725" s="16"/>
      <c r="C725" s="16"/>
    </row>
    <row r="726" spans="2:3" x14ac:dyDescent="0.2">
      <c r="B726" s="16"/>
      <c r="C726" s="16"/>
    </row>
    <row r="727" spans="2:3" x14ac:dyDescent="0.2">
      <c r="B727" s="16"/>
      <c r="C727" s="16"/>
    </row>
    <row r="728" spans="2:3" x14ac:dyDescent="0.2">
      <c r="B728" s="16"/>
      <c r="C728" s="16"/>
    </row>
    <row r="729" spans="2:3" x14ac:dyDescent="0.2">
      <c r="B729" s="16"/>
      <c r="C729" s="16"/>
    </row>
    <row r="730" spans="2:3" x14ac:dyDescent="0.2">
      <c r="B730" s="16"/>
      <c r="C730" s="16"/>
    </row>
    <row r="731" spans="2:3" x14ac:dyDescent="0.2">
      <c r="B731" s="16"/>
      <c r="C731" s="16"/>
    </row>
    <row r="732" spans="2:3" x14ac:dyDescent="0.2">
      <c r="B732" s="16"/>
      <c r="C732" s="16"/>
    </row>
    <row r="733" spans="2:3" x14ac:dyDescent="0.2">
      <c r="B733" s="16"/>
      <c r="C733" s="16"/>
    </row>
    <row r="734" spans="2:3" x14ac:dyDescent="0.2">
      <c r="B734" s="16"/>
      <c r="C734" s="16"/>
    </row>
    <row r="735" spans="2:3" x14ac:dyDescent="0.2">
      <c r="B735" s="16"/>
      <c r="C735" s="16"/>
    </row>
    <row r="736" spans="2:3" x14ac:dyDescent="0.2">
      <c r="B736" s="16"/>
      <c r="C736" s="16"/>
    </row>
    <row r="737" spans="2:3" x14ac:dyDescent="0.2">
      <c r="B737" s="16"/>
      <c r="C737" s="16"/>
    </row>
    <row r="738" spans="2:3" x14ac:dyDescent="0.2">
      <c r="B738" s="16"/>
      <c r="C738" s="16"/>
    </row>
    <row r="739" spans="2:3" x14ac:dyDescent="0.2">
      <c r="B739" s="16"/>
      <c r="C739" s="16"/>
    </row>
    <row r="740" spans="2:3" x14ac:dyDescent="0.2">
      <c r="B740" s="16"/>
      <c r="C740" s="16"/>
    </row>
    <row r="741" spans="2:3" x14ac:dyDescent="0.2">
      <c r="B741" s="16"/>
      <c r="C741" s="16"/>
    </row>
    <row r="742" spans="2:3" x14ac:dyDescent="0.2">
      <c r="B742" s="16"/>
      <c r="C742" s="16"/>
    </row>
    <row r="743" spans="2:3" x14ac:dyDescent="0.2">
      <c r="B743" s="16"/>
      <c r="C743" s="16"/>
    </row>
    <row r="744" spans="2:3" x14ac:dyDescent="0.2">
      <c r="B744" s="16"/>
      <c r="C744" s="16"/>
    </row>
    <row r="745" spans="2:3" x14ac:dyDescent="0.2">
      <c r="B745" s="16"/>
      <c r="C745" s="16"/>
    </row>
    <row r="746" spans="2:3" x14ac:dyDescent="0.2">
      <c r="B746" s="16"/>
      <c r="C746" s="16"/>
    </row>
    <row r="747" spans="2:3" x14ac:dyDescent="0.2">
      <c r="B747" s="16"/>
      <c r="C747" s="16"/>
    </row>
    <row r="748" spans="2:3" x14ac:dyDescent="0.2">
      <c r="B748" s="16"/>
      <c r="C748" s="16"/>
    </row>
    <row r="749" spans="2:3" x14ac:dyDescent="0.2">
      <c r="B749" s="16"/>
      <c r="C749" s="16"/>
    </row>
    <row r="750" spans="2:3" x14ac:dyDescent="0.2">
      <c r="B750" s="16"/>
      <c r="C750" s="16"/>
    </row>
    <row r="751" spans="2:3" x14ac:dyDescent="0.2">
      <c r="B751" s="16"/>
      <c r="C751" s="16"/>
    </row>
    <row r="752" spans="2:3" x14ac:dyDescent="0.2">
      <c r="B752" s="16"/>
      <c r="C752" s="16"/>
    </row>
    <row r="753" spans="2:3" x14ac:dyDescent="0.2">
      <c r="B753" s="16"/>
      <c r="C753" s="16"/>
    </row>
    <row r="754" spans="2:3" x14ac:dyDescent="0.2">
      <c r="B754" s="16"/>
      <c r="C754" s="16"/>
    </row>
    <row r="755" spans="2:3" x14ac:dyDescent="0.2">
      <c r="B755" s="16"/>
      <c r="C755" s="16"/>
    </row>
    <row r="756" spans="2:3" x14ac:dyDescent="0.2">
      <c r="B756" s="16"/>
      <c r="C756" s="16"/>
    </row>
    <row r="757" spans="2:3" x14ac:dyDescent="0.2">
      <c r="B757" s="16"/>
      <c r="C757" s="16"/>
    </row>
    <row r="758" spans="2:3" x14ac:dyDescent="0.2">
      <c r="B758" s="16"/>
      <c r="C758" s="16"/>
    </row>
    <row r="759" spans="2:3" x14ac:dyDescent="0.2">
      <c r="B759" s="16"/>
      <c r="C759" s="16"/>
    </row>
    <row r="760" spans="2:3" x14ac:dyDescent="0.2">
      <c r="B760" s="16"/>
      <c r="C760" s="16"/>
    </row>
    <row r="761" spans="2:3" x14ac:dyDescent="0.2">
      <c r="B761" s="16"/>
      <c r="C761" s="16"/>
    </row>
    <row r="762" spans="2:3" x14ac:dyDescent="0.2">
      <c r="B762" s="16"/>
      <c r="C762" s="16"/>
    </row>
    <row r="763" spans="2:3" x14ac:dyDescent="0.2">
      <c r="B763" s="16"/>
      <c r="C763" s="16"/>
    </row>
    <row r="764" spans="2:3" x14ac:dyDescent="0.2">
      <c r="B764" s="16"/>
      <c r="C764" s="16"/>
    </row>
    <row r="765" spans="2:3" x14ac:dyDescent="0.2">
      <c r="B765" s="16"/>
      <c r="C765" s="16"/>
    </row>
    <row r="766" spans="2:3" x14ac:dyDescent="0.2">
      <c r="B766" s="16"/>
      <c r="C766" s="16"/>
    </row>
    <row r="767" spans="2:3" x14ac:dyDescent="0.2">
      <c r="B767" s="16"/>
      <c r="C767" s="16"/>
    </row>
    <row r="768" spans="2:3" x14ac:dyDescent="0.2">
      <c r="B768" s="16"/>
      <c r="C768" s="16"/>
    </row>
    <row r="769" spans="2:3" x14ac:dyDescent="0.2">
      <c r="B769" s="16"/>
      <c r="C769" s="16"/>
    </row>
    <row r="770" spans="2:3" x14ac:dyDescent="0.2">
      <c r="B770" s="16"/>
      <c r="C770" s="16"/>
    </row>
    <row r="771" spans="2:3" x14ac:dyDescent="0.2">
      <c r="B771" s="16"/>
      <c r="C771" s="16"/>
    </row>
    <row r="772" spans="2:3" x14ac:dyDescent="0.2">
      <c r="B772" s="16"/>
      <c r="C772" s="16"/>
    </row>
    <row r="773" spans="2:3" x14ac:dyDescent="0.2">
      <c r="B773" s="16"/>
      <c r="C773" s="16"/>
    </row>
    <row r="774" spans="2:3" x14ac:dyDescent="0.2">
      <c r="B774" s="16"/>
      <c r="C774" s="16"/>
    </row>
    <row r="775" spans="2:3" x14ac:dyDescent="0.2">
      <c r="B775" s="16"/>
      <c r="C775" s="16"/>
    </row>
    <row r="776" spans="2:3" x14ac:dyDescent="0.2">
      <c r="B776" s="16"/>
      <c r="C776" s="16"/>
    </row>
    <row r="777" spans="2:3" x14ac:dyDescent="0.2">
      <c r="B777" s="16"/>
      <c r="C777" s="16"/>
    </row>
    <row r="778" spans="2:3" x14ac:dyDescent="0.2">
      <c r="B778" s="16"/>
      <c r="C778" s="16"/>
    </row>
    <row r="779" spans="2:3" x14ac:dyDescent="0.2">
      <c r="B779" s="16"/>
      <c r="C779" s="16"/>
    </row>
    <row r="780" spans="2:3" x14ac:dyDescent="0.2">
      <c r="B780" s="16"/>
      <c r="C780" s="16"/>
    </row>
    <row r="781" spans="2:3" x14ac:dyDescent="0.2">
      <c r="B781" s="16"/>
      <c r="C781" s="16"/>
    </row>
    <row r="782" spans="2:3" x14ac:dyDescent="0.2">
      <c r="B782" s="16"/>
      <c r="C782" s="16"/>
    </row>
    <row r="783" spans="2:3" x14ac:dyDescent="0.2">
      <c r="B783" s="16"/>
      <c r="C783" s="16"/>
    </row>
    <row r="784" spans="2:3" x14ac:dyDescent="0.2">
      <c r="B784" s="16"/>
      <c r="C784" s="16"/>
    </row>
    <row r="785" spans="2:3" x14ac:dyDescent="0.2">
      <c r="B785" s="16"/>
      <c r="C785" s="16"/>
    </row>
    <row r="786" spans="2:3" x14ac:dyDescent="0.2">
      <c r="B786" s="16"/>
      <c r="C786" s="16"/>
    </row>
    <row r="787" spans="2:3" x14ac:dyDescent="0.2">
      <c r="B787" s="16"/>
      <c r="C787" s="16"/>
    </row>
    <row r="788" spans="2:3" x14ac:dyDescent="0.2">
      <c r="B788" s="16"/>
      <c r="C788" s="16"/>
    </row>
    <row r="789" spans="2:3" x14ac:dyDescent="0.2">
      <c r="B789" s="16"/>
      <c r="C789" s="16"/>
    </row>
    <row r="790" spans="2:3" x14ac:dyDescent="0.2">
      <c r="B790" s="16"/>
      <c r="C790" s="16"/>
    </row>
    <row r="791" spans="2:3" x14ac:dyDescent="0.2">
      <c r="B791" s="16"/>
      <c r="C791" s="16"/>
    </row>
    <row r="792" spans="2:3" x14ac:dyDescent="0.2">
      <c r="B792" s="16"/>
      <c r="C792" s="16"/>
    </row>
    <row r="793" spans="2:3" x14ac:dyDescent="0.2">
      <c r="B793" s="16"/>
      <c r="C793" s="16"/>
    </row>
    <row r="794" spans="2:3" x14ac:dyDescent="0.2">
      <c r="B794" s="16"/>
      <c r="C794" s="16"/>
    </row>
    <row r="795" spans="2:3" x14ac:dyDescent="0.2">
      <c r="B795" s="16"/>
      <c r="C795" s="16"/>
    </row>
    <row r="796" spans="2:3" x14ac:dyDescent="0.2">
      <c r="B796" s="16"/>
      <c r="C796" s="16"/>
    </row>
    <row r="797" spans="2:3" x14ac:dyDescent="0.2">
      <c r="B797" s="16"/>
      <c r="C797" s="16"/>
    </row>
    <row r="798" spans="2:3" x14ac:dyDescent="0.2">
      <c r="B798" s="16"/>
      <c r="C798" s="16"/>
    </row>
    <row r="799" spans="2:3" x14ac:dyDescent="0.2">
      <c r="B799" s="16"/>
      <c r="C799" s="16"/>
    </row>
    <row r="800" spans="2:3" x14ac:dyDescent="0.2">
      <c r="B800" s="16"/>
      <c r="C800" s="16"/>
    </row>
    <row r="801" spans="2:3" x14ac:dyDescent="0.2">
      <c r="B801" s="16"/>
      <c r="C801" s="16"/>
    </row>
    <row r="802" spans="2:3" x14ac:dyDescent="0.2">
      <c r="B802" s="16"/>
      <c r="C802" s="16"/>
    </row>
    <row r="803" spans="2:3" x14ac:dyDescent="0.2">
      <c r="B803" s="16"/>
      <c r="C803" s="16"/>
    </row>
    <row r="804" spans="2:3" x14ac:dyDescent="0.2">
      <c r="B804" s="16"/>
      <c r="C804" s="16"/>
    </row>
    <row r="805" spans="2:3" x14ac:dyDescent="0.2">
      <c r="B805" s="16"/>
      <c r="C805" s="16"/>
    </row>
    <row r="806" spans="2:3" x14ac:dyDescent="0.2">
      <c r="B806" s="16"/>
      <c r="C806" s="16"/>
    </row>
    <row r="807" spans="2:3" x14ac:dyDescent="0.2">
      <c r="B807" s="16"/>
      <c r="C807" s="16"/>
    </row>
    <row r="808" spans="2:3" x14ac:dyDescent="0.2">
      <c r="B808" s="16"/>
      <c r="C808" s="16"/>
    </row>
    <row r="809" spans="2:3" x14ac:dyDescent="0.2">
      <c r="B809" s="16"/>
      <c r="C809" s="16"/>
    </row>
    <row r="810" spans="2:3" x14ac:dyDescent="0.2">
      <c r="B810" s="16"/>
      <c r="C810" s="16"/>
    </row>
    <row r="811" spans="2:3" x14ac:dyDescent="0.2">
      <c r="B811" s="16"/>
      <c r="C811" s="16"/>
    </row>
    <row r="812" spans="2:3" x14ac:dyDescent="0.2">
      <c r="B812" s="16"/>
      <c r="C812" s="16"/>
    </row>
    <row r="813" spans="2:3" x14ac:dyDescent="0.2">
      <c r="B813" s="16"/>
      <c r="C813" s="16"/>
    </row>
    <row r="814" spans="2:3" x14ac:dyDescent="0.2">
      <c r="B814" s="16"/>
      <c r="C814" s="16"/>
    </row>
    <row r="815" spans="2:3" x14ac:dyDescent="0.2">
      <c r="B815" s="16"/>
      <c r="C815" s="16"/>
    </row>
    <row r="816" spans="2:3" x14ac:dyDescent="0.2">
      <c r="B816" s="16"/>
      <c r="C816" s="16"/>
    </row>
    <row r="817" spans="2:3" x14ac:dyDescent="0.2">
      <c r="B817" s="16"/>
      <c r="C817" s="16"/>
    </row>
    <row r="818" spans="2:3" x14ac:dyDescent="0.2">
      <c r="B818" s="16"/>
      <c r="C818" s="16"/>
    </row>
    <row r="819" spans="2:3" x14ac:dyDescent="0.2">
      <c r="B819" s="16"/>
      <c r="C819" s="16"/>
    </row>
    <row r="820" spans="2:3" x14ac:dyDescent="0.2">
      <c r="B820" s="16"/>
      <c r="C820" s="16"/>
    </row>
    <row r="821" spans="2:3" x14ac:dyDescent="0.2">
      <c r="B821" s="16"/>
      <c r="C821" s="16"/>
    </row>
    <row r="822" spans="2:3" x14ac:dyDescent="0.2">
      <c r="B822" s="16"/>
      <c r="C822" s="16"/>
    </row>
    <row r="823" spans="2:3" x14ac:dyDescent="0.2">
      <c r="B823" s="16"/>
      <c r="C823" s="16"/>
    </row>
    <row r="824" spans="2:3" x14ac:dyDescent="0.2">
      <c r="B824" s="16"/>
      <c r="C824" s="16"/>
    </row>
    <row r="825" spans="2:3" x14ac:dyDescent="0.2">
      <c r="B825" s="16"/>
      <c r="C825" s="16"/>
    </row>
    <row r="826" spans="2:3" x14ac:dyDescent="0.2">
      <c r="B826" s="16"/>
      <c r="C826" s="16"/>
    </row>
    <row r="827" spans="2:3" x14ac:dyDescent="0.2">
      <c r="B827" s="16"/>
      <c r="C827" s="16"/>
    </row>
    <row r="828" spans="2:3" x14ac:dyDescent="0.2">
      <c r="B828" s="16"/>
      <c r="C828" s="16"/>
    </row>
    <row r="829" spans="2:3" x14ac:dyDescent="0.2">
      <c r="B829" s="16"/>
      <c r="C829" s="16"/>
    </row>
    <row r="830" spans="2:3" x14ac:dyDescent="0.2">
      <c r="B830" s="16"/>
      <c r="C830" s="16"/>
    </row>
    <row r="831" spans="2:3" x14ac:dyDescent="0.2">
      <c r="B831" s="16"/>
      <c r="C831" s="16"/>
    </row>
    <row r="832" spans="2:3" x14ac:dyDescent="0.2">
      <c r="B832" s="16"/>
      <c r="C832" s="16"/>
    </row>
    <row r="833" spans="2:3" x14ac:dyDescent="0.2">
      <c r="B833" s="16"/>
      <c r="C833" s="16"/>
    </row>
    <row r="834" spans="2:3" x14ac:dyDescent="0.2">
      <c r="B834" s="16"/>
      <c r="C834" s="16"/>
    </row>
    <row r="835" spans="2:3" x14ac:dyDescent="0.2">
      <c r="B835" s="16"/>
      <c r="C835" s="16"/>
    </row>
    <row r="836" spans="2:3" x14ac:dyDescent="0.2">
      <c r="B836" s="16"/>
      <c r="C836" s="16"/>
    </row>
    <row r="837" spans="2:3" x14ac:dyDescent="0.2">
      <c r="B837" s="16"/>
      <c r="C837" s="16"/>
    </row>
    <row r="838" spans="2:3" x14ac:dyDescent="0.2">
      <c r="B838" s="16"/>
      <c r="C838" s="16"/>
    </row>
    <row r="839" spans="2:3" x14ac:dyDescent="0.2">
      <c r="B839" s="16"/>
      <c r="C839" s="16"/>
    </row>
    <row r="840" spans="2:3" x14ac:dyDescent="0.2">
      <c r="B840" s="16"/>
      <c r="C840" s="16"/>
    </row>
    <row r="841" spans="2:3" x14ac:dyDescent="0.2">
      <c r="B841" s="16"/>
      <c r="C841" s="16"/>
    </row>
    <row r="842" spans="2:3" x14ac:dyDescent="0.2">
      <c r="B842" s="16"/>
      <c r="C842" s="16"/>
    </row>
    <row r="843" spans="2:3" x14ac:dyDescent="0.2">
      <c r="B843" s="16"/>
      <c r="C843" s="16"/>
    </row>
    <row r="844" spans="2:3" x14ac:dyDescent="0.2">
      <c r="B844" s="16"/>
      <c r="C844" s="16"/>
    </row>
    <row r="845" spans="2:3" x14ac:dyDescent="0.2">
      <c r="B845" s="16"/>
      <c r="C845" s="16"/>
    </row>
    <row r="846" spans="2:3" x14ac:dyDescent="0.2">
      <c r="B846" s="16"/>
      <c r="C846" s="16"/>
    </row>
    <row r="847" spans="2:3" x14ac:dyDescent="0.2">
      <c r="B847" s="16"/>
      <c r="C847" s="16"/>
    </row>
    <row r="848" spans="2:3" x14ac:dyDescent="0.2">
      <c r="B848" s="16"/>
      <c r="C848" s="16"/>
    </row>
    <row r="849" spans="2:3" x14ac:dyDescent="0.2">
      <c r="B849" s="16"/>
      <c r="C849" s="16"/>
    </row>
    <row r="850" spans="2:3" x14ac:dyDescent="0.2">
      <c r="B850" s="16"/>
      <c r="C850" s="16"/>
    </row>
    <row r="851" spans="2:3" x14ac:dyDescent="0.2">
      <c r="B851" s="16"/>
      <c r="C851" s="16"/>
    </row>
    <row r="852" spans="2:3" x14ac:dyDescent="0.2">
      <c r="B852" s="16"/>
      <c r="C852" s="16"/>
    </row>
    <row r="853" spans="2:3" x14ac:dyDescent="0.2">
      <c r="B853" s="16"/>
      <c r="C853" s="16"/>
    </row>
    <row r="854" spans="2:3" x14ac:dyDescent="0.2">
      <c r="B854" s="16"/>
      <c r="C854" s="16"/>
    </row>
    <row r="855" spans="2:3" x14ac:dyDescent="0.2">
      <c r="B855" s="16"/>
      <c r="C855" s="16"/>
    </row>
    <row r="856" spans="2:3" x14ac:dyDescent="0.2">
      <c r="B856" s="16"/>
      <c r="C856" s="16"/>
    </row>
    <row r="857" spans="2:3" x14ac:dyDescent="0.2">
      <c r="B857" s="16"/>
      <c r="C857" s="16"/>
    </row>
    <row r="858" spans="2:3" x14ac:dyDescent="0.2">
      <c r="B858" s="16"/>
      <c r="C858" s="16"/>
    </row>
    <row r="859" spans="2:3" x14ac:dyDescent="0.2">
      <c r="B859" s="16"/>
      <c r="C859" s="16"/>
    </row>
    <row r="860" spans="2:3" x14ac:dyDescent="0.2">
      <c r="B860" s="16"/>
      <c r="C860" s="16"/>
    </row>
    <row r="861" spans="2:3" x14ac:dyDescent="0.2">
      <c r="B861" s="16"/>
      <c r="C861" s="16"/>
    </row>
    <row r="862" spans="2:3" x14ac:dyDescent="0.2">
      <c r="B862" s="16"/>
      <c r="C862" s="16"/>
    </row>
    <row r="863" spans="2:3" x14ac:dyDescent="0.2">
      <c r="B863" s="16"/>
      <c r="C863" s="16"/>
    </row>
    <row r="864" spans="2:3" x14ac:dyDescent="0.2">
      <c r="B864" s="16"/>
      <c r="C864" s="16"/>
    </row>
    <row r="865" spans="2:3" x14ac:dyDescent="0.2">
      <c r="B865" s="16"/>
      <c r="C865" s="16"/>
    </row>
    <row r="866" spans="2:3" x14ac:dyDescent="0.2">
      <c r="B866" s="16"/>
      <c r="C866" s="16"/>
    </row>
    <row r="867" spans="2:3" x14ac:dyDescent="0.2">
      <c r="B867" s="16"/>
      <c r="C867" s="16"/>
    </row>
    <row r="868" spans="2:3" x14ac:dyDescent="0.2">
      <c r="B868" s="16"/>
      <c r="C868" s="16"/>
    </row>
    <row r="869" spans="2:3" x14ac:dyDescent="0.2">
      <c r="B869" s="16"/>
      <c r="C869" s="16"/>
    </row>
    <row r="870" spans="2:3" x14ac:dyDescent="0.2">
      <c r="B870" s="16"/>
      <c r="C870" s="16"/>
    </row>
    <row r="871" spans="2:3" x14ac:dyDescent="0.2">
      <c r="B871" s="16"/>
      <c r="C871" s="16"/>
    </row>
    <row r="872" spans="2:3" x14ac:dyDescent="0.2">
      <c r="B872" s="16"/>
      <c r="C872" s="16"/>
    </row>
    <row r="873" spans="2:3" x14ac:dyDescent="0.2">
      <c r="B873" s="16"/>
      <c r="C873" s="16"/>
    </row>
    <row r="874" spans="2:3" x14ac:dyDescent="0.2">
      <c r="B874" s="16"/>
      <c r="C874" s="16"/>
    </row>
    <row r="875" spans="2:3" x14ac:dyDescent="0.2">
      <c r="B875" s="16"/>
      <c r="C875" s="16"/>
    </row>
    <row r="876" spans="2:3" x14ac:dyDescent="0.2">
      <c r="B876" s="16"/>
      <c r="C876" s="16"/>
    </row>
    <row r="877" spans="2:3" x14ac:dyDescent="0.2">
      <c r="B877" s="16"/>
      <c r="C877" s="16"/>
    </row>
    <row r="878" spans="2:3" x14ac:dyDescent="0.2">
      <c r="B878" s="16"/>
      <c r="C878" s="16"/>
    </row>
    <row r="879" spans="2:3" x14ac:dyDescent="0.2">
      <c r="B879" s="16"/>
      <c r="C879" s="16"/>
    </row>
    <row r="880" spans="2:3" x14ac:dyDescent="0.2">
      <c r="B880" s="16"/>
      <c r="C880" s="16"/>
    </row>
    <row r="881" spans="2:3" x14ac:dyDescent="0.2">
      <c r="B881" s="16"/>
      <c r="C881" s="16"/>
    </row>
    <row r="882" spans="2:3" x14ac:dyDescent="0.2">
      <c r="B882" s="16"/>
      <c r="C882" s="16"/>
    </row>
    <row r="883" spans="2:3" x14ac:dyDescent="0.2">
      <c r="B883" s="16"/>
      <c r="C883" s="16"/>
    </row>
    <row r="884" spans="2:3" x14ac:dyDescent="0.2">
      <c r="B884" s="16"/>
      <c r="C884" s="16"/>
    </row>
    <row r="885" spans="2:3" x14ac:dyDescent="0.2">
      <c r="B885" s="16"/>
      <c r="C885" s="16"/>
    </row>
    <row r="886" spans="2:3" x14ac:dyDescent="0.2">
      <c r="B886" s="16"/>
      <c r="C886" s="16"/>
    </row>
    <row r="887" spans="2:3" x14ac:dyDescent="0.2">
      <c r="B887" s="16"/>
      <c r="C887" s="16"/>
    </row>
    <row r="888" spans="2:3" x14ac:dyDescent="0.2">
      <c r="B888" s="16"/>
      <c r="C888" s="16"/>
    </row>
    <row r="889" spans="2:3" x14ac:dyDescent="0.2">
      <c r="B889" s="16"/>
      <c r="C889" s="16"/>
    </row>
    <row r="890" spans="2:3" x14ac:dyDescent="0.2">
      <c r="B890" s="16"/>
      <c r="C890" s="16"/>
    </row>
    <row r="891" spans="2:3" x14ac:dyDescent="0.2">
      <c r="B891" s="16"/>
      <c r="C891" s="16"/>
    </row>
    <row r="892" spans="2:3" x14ac:dyDescent="0.2">
      <c r="B892" s="16"/>
      <c r="C892" s="16"/>
    </row>
    <row r="893" spans="2:3" x14ac:dyDescent="0.2">
      <c r="B893" s="16"/>
      <c r="C893" s="16"/>
    </row>
    <row r="894" spans="2:3" x14ac:dyDescent="0.2">
      <c r="B894" s="16"/>
      <c r="C894" s="16"/>
    </row>
    <row r="895" spans="2:3" x14ac:dyDescent="0.2">
      <c r="B895" s="16"/>
      <c r="C895" s="16"/>
    </row>
    <row r="896" spans="2:3" x14ac:dyDescent="0.2">
      <c r="B896" s="16"/>
      <c r="C896" s="16"/>
    </row>
    <row r="897" spans="2:3" x14ac:dyDescent="0.2">
      <c r="B897" s="16"/>
      <c r="C897" s="16"/>
    </row>
    <row r="898" spans="2:3" x14ac:dyDescent="0.2">
      <c r="B898" s="16"/>
      <c r="C898" s="16"/>
    </row>
    <row r="899" spans="2:3" x14ac:dyDescent="0.2">
      <c r="B899" s="16"/>
      <c r="C899" s="16"/>
    </row>
    <row r="900" spans="2:3" x14ac:dyDescent="0.2">
      <c r="B900" s="16"/>
      <c r="C900" s="16"/>
    </row>
    <row r="901" spans="2:3" x14ac:dyDescent="0.2">
      <c r="B901" s="16"/>
      <c r="C901" s="16"/>
    </row>
    <row r="902" spans="2:3" x14ac:dyDescent="0.2">
      <c r="B902" s="16"/>
      <c r="C902" s="16"/>
    </row>
    <row r="903" spans="2:3" x14ac:dyDescent="0.2">
      <c r="B903" s="16"/>
      <c r="C903" s="16"/>
    </row>
    <row r="904" spans="2:3" x14ac:dyDescent="0.2">
      <c r="B904" s="16"/>
      <c r="C904" s="16"/>
    </row>
    <row r="905" spans="2:3" x14ac:dyDescent="0.2">
      <c r="B905" s="16"/>
      <c r="C905" s="16"/>
    </row>
    <row r="906" spans="2:3" x14ac:dyDescent="0.2">
      <c r="B906" s="16"/>
      <c r="C906" s="16"/>
    </row>
    <row r="907" spans="2:3" x14ac:dyDescent="0.2">
      <c r="B907" s="16"/>
      <c r="C907" s="16"/>
    </row>
    <row r="908" spans="2:3" x14ac:dyDescent="0.2">
      <c r="B908" s="16"/>
      <c r="C908" s="16"/>
    </row>
    <row r="909" spans="2:3" x14ac:dyDescent="0.2">
      <c r="B909" s="16"/>
      <c r="C909" s="16"/>
    </row>
    <row r="910" spans="2:3" x14ac:dyDescent="0.2">
      <c r="B910" s="16"/>
      <c r="C910" s="16"/>
    </row>
    <row r="911" spans="2:3" x14ac:dyDescent="0.2">
      <c r="B911" s="16"/>
      <c r="C911" s="16"/>
    </row>
    <row r="912" spans="2:3" x14ac:dyDescent="0.2">
      <c r="B912" s="16"/>
      <c r="C912" s="16"/>
    </row>
    <row r="913" spans="2:3" x14ac:dyDescent="0.2">
      <c r="B913" s="16"/>
      <c r="C913" s="16"/>
    </row>
    <row r="914" spans="2:3" x14ac:dyDescent="0.2">
      <c r="B914" s="16"/>
      <c r="C914" s="16"/>
    </row>
    <row r="915" spans="2:3" x14ac:dyDescent="0.2">
      <c r="B915" s="16"/>
      <c r="C915" s="16"/>
    </row>
    <row r="916" spans="2:3" x14ac:dyDescent="0.2">
      <c r="B916" s="16"/>
      <c r="C916" s="16"/>
    </row>
    <row r="917" spans="2:3" x14ac:dyDescent="0.2">
      <c r="B917" s="16"/>
      <c r="C917" s="16"/>
    </row>
    <row r="918" spans="2:3" x14ac:dyDescent="0.2">
      <c r="B918" s="16"/>
      <c r="C918" s="16"/>
    </row>
    <row r="919" spans="2:3" x14ac:dyDescent="0.2">
      <c r="B919" s="16"/>
      <c r="C919" s="16"/>
    </row>
    <row r="920" spans="2:3" x14ac:dyDescent="0.2">
      <c r="B920" s="16"/>
      <c r="C920" s="16"/>
    </row>
    <row r="921" spans="2:3" x14ac:dyDescent="0.2">
      <c r="B921" s="16"/>
      <c r="C921" s="16"/>
    </row>
    <row r="922" spans="2:3" x14ac:dyDescent="0.2">
      <c r="B922" s="16"/>
      <c r="C922" s="16"/>
    </row>
    <row r="923" spans="2:3" x14ac:dyDescent="0.2">
      <c r="B923" s="16"/>
      <c r="C923" s="16"/>
    </row>
    <row r="924" spans="2:3" x14ac:dyDescent="0.2">
      <c r="B924" s="16"/>
      <c r="C924" s="16"/>
    </row>
    <row r="925" spans="2:3" x14ac:dyDescent="0.2">
      <c r="B925" s="16"/>
      <c r="C925" s="16"/>
    </row>
    <row r="926" spans="2:3" x14ac:dyDescent="0.2">
      <c r="B926" s="16"/>
      <c r="C926" s="16"/>
    </row>
    <row r="927" spans="2:3" x14ac:dyDescent="0.2">
      <c r="B927" s="16"/>
      <c r="C927" s="16"/>
    </row>
    <row r="928" spans="2:3" x14ac:dyDescent="0.2">
      <c r="B928" s="16"/>
      <c r="C928" s="16"/>
    </row>
    <row r="929" spans="2:3" x14ac:dyDescent="0.2">
      <c r="B929" s="16"/>
      <c r="C929" s="16"/>
    </row>
    <row r="930" spans="2:3" x14ac:dyDescent="0.2">
      <c r="B930" s="16"/>
      <c r="C930" s="16"/>
    </row>
    <row r="931" spans="2:3" x14ac:dyDescent="0.2">
      <c r="B931" s="16"/>
      <c r="C931" s="16"/>
    </row>
    <row r="932" spans="2:3" x14ac:dyDescent="0.2">
      <c r="B932" s="16"/>
      <c r="C932" s="16"/>
    </row>
    <row r="933" spans="2:3" x14ac:dyDescent="0.2">
      <c r="B933" s="16"/>
      <c r="C933" s="16"/>
    </row>
    <row r="934" spans="2:3" x14ac:dyDescent="0.2">
      <c r="B934" s="16"/>
      <c r="C934" s="16"/>
    </row>
    <row r="935" spans="2:3" x14ac:dyDescent="0.2">
      <c r="B935" s="16"/>
      <c r="C935" s="16"/>
    </row>
    <row r="936" spans="2:3" x14ac:dyDescent="0.2">
      <c r="B936" s="16"/>
      <c r="C936" s="16"/>
    </row>
    <row r="937" spans="2:3" x14ac:dyDescent="0.2">
      <c r="B937" s="16"/>
      <c r="C937" s="16"/>
    </row>
    <row r="938" spans="2:3" x14ac:dyDescent="0.2">
      <c r="B938" s="16"/>
      <c r="C938" s="16"/>
    </row>
    <row r="939" spans="2:3" x14ac:dyDescent="0.2">
      <c r="B939" s="16"/>
      <c r="C939" s="16"/>
    </row>
    <row r="940" spans="2:3" x14ac:dyDescent="0.2">
      <c r="B940" s="16"/>
      <c r="C940" s="16"/>
    </row>
    <row r="941" spans="2:3" x14ac:dyDescent="0.2">
      <c r="B941" s="16"/>
      <c r="C941" s="16"/>
    </row>
    <row r="942" spans="2:3" x14ac:dyDescent="0.2">
      <c r="B942" s="16"/>
      <c r="C942" s="16"/>
    </row>
    <row r="943" spans="2:3" x14ac:dyDescent="0.2">
      <c r="B943" s="16"/>
      <c r="C943" s="16"/>
    </row>
    <row r="944" spans="2:3" x14ac:dyDescent="0.2">
      <c r="B944" s="16"/>
      <c r="C944" s="16"/>
    </row>
    <row r="945" spans="2:3" x14ac:dyDescent="0.2">
      <c r="B945" s="16"/>
      <c r="C945" s="16"/>
    </row>
    <row r="946" spans="2:3" x14ac:dyDescent="0.2">
      <c r="B946" s="16"/>
      <c r="C946" s="16"/>
    </row>
    <row r="947" spans="2:3" x14ac:dyDescent="0.2">
      <c r="B947" s="16"/>
      <c r="C947" s="16"/>
    </row>
    <row r="948" spans="2:3" x14ac:dyDescent="0.2">
      <c r="B948" s="16"/>
      <c r="C948" s="16"/>
    </row>
    <row r="949" spans="2:3" x14ac:dyDescent="0.2">
      <c r="B949" s="16"/>
      <c r="C949" s="16"/>
    </row>
    <row r="950" spans="2:3" x14ac:dyDescent="0.2">
      <c r="B950" s="16"/>
      <c r="C950" s="16"/>
    </row>
    <row r="951" spans="2:3" x14ac:dyDescent="0.2">
      <c r="B951" s="16"/>
      <c r="C951" s="16"/>
    </row>
    <row r="952" spans="2:3" x14ac:dyDescent="0.2">
      <c r="B952" s="16"/>
      <c r="C952" s="16"/>
    </row>
    <row r="953" spans="2:3" x14ac:dyDescent="0.2">
      <c r="B953" s="16"/>
      <c r="C953" s="16"/>
    </row>
    <row r="954" spans="2:3" x14ac:dyDescent="0.2">
      <c r="B954" s="16"/>
      <c r="C954" s="16"/>
    </row>
    <row r="955" spans="2:3" x14ac:dyDescent="0.2">
      <c r="B955" s="16"/>
      <c r="C955" s="16"/>
    </row>
    <row r="956" spans="2:3" x14ac:dyDescent="0.2">
      <c r="B956" s="16"/>
      <c r="C956" s="16"/>
    </row>
    <row r="957" spans="2:3" x14ac:dyDescent="0.2">
      <c r="B957" s="16"/>
      <c r="C957" s="16"/>
    </row>
    <row r="958" spans="2:3" x14ac:dyDescent="0.2">
      <c r="B958" s="16"/>
      <c r="C958" s="16"/>
    </row>
    <row r="959" spans="2:3" x14ac:dyDescent="0.2">
      <c r="B959" s="16"/>
      <c r="C959" s="16"/>
    </row>
    <row r="960" spans="2:3" x14ac:dyDescent="0.2">
      <c r="B960" s="16"/>
      <c r="C960" s="16"/>
    </row>
    <row r="961" spans="2:3" x14ac:dyDescent="0.2">
      <c r="B961" s="16"/>
      <c r="C961" s="16"/>
    </row>
    <row r="962" spans="2:3" x14ac:dyDescent="0.2">
      <c r="B962" s="16"/>
      <c r="C962" s="16"/>
    </row>
    <row r="963" spans="2:3" x14ac:dyDescent="0.2">
      <c r="B963" s="16"/>
      <c r="C963" s="16"/>
    </row>
    <row r="964" spans="2:3" x14ac:dyDescent="0.2">
      <c r="B964" s="16"/>
      <c r="C964" s="16"/>
    </row>
    <row r="965" spans="2:3" x14ac:dyDescent="0.2">
      <c r="B965" s="16"/>
      <c r="C965" s="16"/>
    </row>
    <row r="966" spans="2:3" x14ac:dyDescent="0.2">
      <c r="B966" s="16"/>
      <c r="C966" s="16"/>
    </row>
    <row r="967" spans="2:3" x14ac:dyDescent="0.2">
      <c r="B967" s="16"/>
      <c r="C967" s="16"/>
    </row>
    <row r="968" spans="2:3" x14ac:dyDescent="0.2">
      <c r="B968" s="16"/>
      <c r="C968" s="16"/>
    </row>
    <row r="969" spans="2:3" x14ac:dyDescent="0.2">
      <c r="B969" s="16"/>
      <c r="C969" s="16"/>
    </row>
    <row r="970" spans="2:3" x14ac:dyDescent="0.2">
      <c r="B970" s="16"/>
      <c r="C970" s="16"/>
    </row>
    <row r="971" spans="2:3" x14ac:dyDescent="0.2">
      <c r="B971" s="16"/>
      <c r="C971" s="16"/>
    </row>
    <row r="972" spans="2:3" x14ac:dyDescent="0.2">
      <c r="B972" s="16"/>
      <c r="C972" s="16"/>
    </row>
    <row r="973" spans="2:3" x14ac:dyDescent="0.2">
      <c r="B973" s="16"/>
      <c r="C973" s="16"/>
    </row>
    <row r="974" spans="2:3" x14ac:dyDescent="0.2">
      <c r="B974" s="16"/>
      <c r="C974" s="16"/>
    </row>
    <row r="975" spans="2:3" x14ac:dyDescent="0.2">
      <c r="B975" s="16"/>
      <c r="C975" s="16"/>
    </row>
    <row r="976" spans="2:3" x14ac:dyDescent="0.2">
      <c r="B976" s="16"/>
      <c r="C976" s="16"/>
    </row>
    <row r="977" spans="2:3" x14ac:dyDescent="0.2">
      <c r="B977" s="16"/>
      <c r="C977" s="16"/>
    </row>
    <row r="978" spans="2:3" x14ac:dyDescent="0.2">
      <c r="B978" s="16"/>
      <c r="C978" s="16"/>
    </row>
    <row r="979" spans="2:3" x14ac:dyDescent="0.2">
      <c r="B979" s="16"/>
      <c r="C979" s="16"/>
    </row>
    <row r="980" spans="2:3" x14ac:dyDescent="0.2">
      <c r="B980" s="16"/>
      <c r="C980" s="16"/>
    </row>
    <row r="981" spans="2:3" x14ac:dyDescent="0.2">
      <c r="B981" s="16"/>
      <c r="C981" s="16"/>
    </row>
    <row r="982" spans="2:3" x14ac:dyDescent="0.2">
      <c r="B982" s="16"/>
      <c r="C982" s="16"/>
    </row>
    <row r="983" spans="2:3" x14ac:dyDescent="0.2">
      <c r="B983" s="16"/>
      <c r="C983" s="16"/>
    </row>
    <row r="984" spans="2:3" x14ac:dyDescent="0.2">
      <c r="B984" s="16"/>
      <c r="C984" s="16"/>
    </row>
    <row r="985" spans="2:3" x14ac:dyDescent="0.2">
      <c r="B985" s="16"/>
      <c r="C985" s="16"/>
    </row>
    <row r="986" spans="2:3" x14ac:dyDescent="0.2">
      <c r="B986" s="16"/>
      <c r="C986" s="16"/>
    </row>
    <row r="987" spans="2:3" x14ac:dyDescent="0.2">
      <c r="B987" s="16"/>
      <c r="C987" s="16"/>
    </row>
    <row r="988" spans="2:3" x14ac:dyDescent="0.2">
      <c r="B988" s="16"/>
      <c r="C988" s="16"/>
    </row>
    <row r="989" spans="2:3" x14ac:dyDescent="0.2">
      <c r="B989" s="16"/>
      <c r="C989" s="16"/>
    </row>
    <row r="990" spans="2:3" x14ac:dyDescent="0.2">
      <c r="B990" s="16"/>
      <c r="C990" s="16"/>
    </row>
    <row r="991" spans="2:3" x14ac:dyDescent="0.2">
      <c r="B991" s="16"/>
      <c r="C991" s="16"/>
    </row>
    <row r="992" spans="2:3" x14ac:dyDescent="0.2">
      <c r="B992" s="16"/>
      <c r="C992" s="16"/>
    </row>
    <row r="993" spans="2:3" x14ac:dyDescent="0.2">
      <c r="B993" s="16"/>
      <c r="C993" s="16"/>
    </row>
    <row r="994" spans="2:3" x14ac:dyDescent="0.2">
      <c r="B994" s="16"/>
      <c r="C994" s="16"/>
    </row>
    <row r="995" spans="2:3" x14ac:dyDescent="0.2">
      <c r="B995" s="16"/>
      <c r="C995" s="16"/>
    </row>
    <row r="996" spans="2:3" x14ac:dyDescent="0.2">
      <c r="B996" s="16"/>
      <c r="C996" s="16"/>
    </row>
    <row r="997" spans="2:3" x14ac:dyDescent="0.2">
      <c r="B997" s="16"/>
      <c r="C997" s="16"/>
    </row>
    <row r="998" spans="2:3" x14ac:dyDescent="0.2">
      <c r="B998" s="16"/>
      <c r="C998" s="16"/>
    </row>
    <row r="999" spans="2:3" x14ac:dyDescent="0.2">
      <c r="B999" s="16"/>
      <c r="C999" s="16"/>
    </row>
    <row r="1000" spans="2:3" x14ac:dyDescent="0.2">
      <c r="B1000" s="16"/>
      <c r="C1000" s="16"/>
    </row>
    <row r="1001" spans="2:3" x14ac:dyDescent="0.2">
      <c r="B1001" s="16"/>
      <c r="C1001" s="16"/>
    </row>
    <row r="1002" spans="2:3" x14ac:dyDescent="0.2">
      <c r="B1002" s="16"/>
      <c r="C1002" s="16"/>
    </row>
    <row r="1003" spans="2:3" x14ac:dyDescent="0.2">
      <c r="B1003" s="16"/>
      <c r="C1003" s="16"/>
    </row>
    <row r="1004" spans="2:3" x14ac:dyDescent="0.2">
      <c r="B1004" s="16"/>
      <c r="C1004" s="16"/>
    </row>
    <row r="1005" spans="2:3" x14ac:dyDescent="0.2">
      <c r="B1005" s="16"/>
      <c r="C1005" s="16"/>
    </row>
    <row r="1006" spans="2:3" x14ac:dyDescent="0.2">
      <c r="B1006" s="16"/>
      <c r="C1006" s="16"/>
    </row>
    <row r="1007" spans="2:3" x14ac:dyDescent="0.2">
      <c r="B1007" s="16"/>
      <c r="C1007" s="16"/>
    </row>
    <row r="1008" spans="2:3" x14ac:dyDescent="0.2">
      <c r="B1008" s="16"/>
      <c r="C1008" s="16"/>
    </row>
    <row r="1009" spans="2:3" x14ac:dyDescent="0.2">
      <c r="B1009" s="16"/>
      <c r="C1009" s="16"/>
    </row>
    <row r="1010" spans="2:3" x14ac:dyDescent="0.2">
      <c r="B1010" s="16"/>
      <c r="C1010" s="16"/>
    </row>
    <row r="1011" spans="2:3" x14ac:dyDescent="0.2">
      <c r="B1011" s="16"/>
      <c r="C1011" s="16"/>
    </row>
    <row r="1012" spans="2:3" x14ac:dyDescent="0.2">
      <c r="B1012" s="16"/>
      <c r="C1012" s="16"/>
    </row>
    <row r="1013" spans="2:3" x14ac:dyDescent="0.2">
      <c r="B1013" s="16"/>
      <c r="C1013" s="16"/>
    </row>
    <row r="1014" spans="2:3" x14ac:dyDescent="0.2">
      <c r="B1014" s="16"/>
      <c r="C1014" s="16"/>
    </row>
    <row r="1015" spans="2:3" x14ac:dyDescent="0.2">
      <c r="B1015" s="16"/>
      <c r="C1015" s="16"/>
    </row>
    <row r="1016" spans="2:3" x14ac:dyDescent="0.2">
      <c r="B1016" s="16"/>
      <c r="C1016" s="16"/>
    </row>
    <row r="1017" spans="2:3" x14ac:dyDescent="0.2">
      <c r="B1017" s="16"/>
      <c r="C1017" s="16"/>
    </row>
    <row r="1018" spans="2:3" x14ac:dyDescent="0.2">
      <c r="B1018" s="16"/>
      <c r="C1018" s="16"/>
    </row>
    <row r="1019" spans="2:3" x14ac:dyDescent="0.2">
      <c r="B1019" s="16"/>
      <c r="C1019" s="16"/>
    </row>
    <row r="1020" spans="2:3" x14ac:dyDescent="0.2">
      <c r="B1020" s="16"/>
      <c r="C1020" s="16"/>
    </row>
    <row r="1021" spans="2:3" x14ac:dyDescent="0.2">
      <c r="B1021" s="16"/>
      <c r="C1021" s="16"/>
    </row>
  </sheetData>
  <mergeCells count="2">
    <mergeCell ref="B1:Q1"/>
    <mergeCell ref="R1:AD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Вигрузка</vt:lpstr>
      <vt:lpstr>Компонети</vt:lpstr>
      <vt:lpstr>MultiPlus &amp; Sunlight</vt:lpstr>
      <vt:lpstr>Quattro &amp; Sunlight</vt:lpstr>
      <vt:lpstr>Технічні параметри 230В</vt:lpstr>
      <vt:lpstr>Технічні параметри 400В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Yaroslav</cp:lastModifiedBy>
  <dcterms:modified xsi:type="dcterms:W3CDTF">2026-04-07T09:38:27Z</dcterms:modified>
</cp:coreProperties>
</file>
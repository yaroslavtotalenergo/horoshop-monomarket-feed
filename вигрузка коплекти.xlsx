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Yaroslav\Desktop\"/>
    </mc:Choice>
  </mc:AlternateContent>
  <xr:revisionPtr revIDLastSave="0" documentId="13_ncr:1_{1131A1CC-174B-4CAC-B311-12E231C50E4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Аркуш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2" i="1" l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  <c r="B38" i="1" l="1"/>
  <c r="C38" i="1" s="1"/>
  <c r="B45" i="1"/>
  <c r="C45" i="1" s="1"/>
  <c r="B37" i="1"/>
  <c r="C37" i="1" s="1"/>
  <c r="B46" i="1"/>
  <c r="C46" i="1" s="1"/>
  <c r="B36" i="1"/>
  <c r="C36" i="1" s="1"/>
  <c r="B32" i="1"/>
  <c r="C32" i="1" s="1"/>
  <c r="B49" i="1"/>
  <c r="C49" i="1" s="1"/>
  <c r="B52" i="1"/>
  <c r="C52" i="1" s="1"/>
  <c r="B47" i="1"/>
  <c r="C47" i="1" s="1"/>
  <c r="B44" i="1"/>
  <c r="C44" i="1" s="1"/>
  <c r="B51" i="1"/>
  <c r="C51" i="1" s="1"/>
  <c r="B43" i="1"/>
  <c r="C43" i="1" s="1"/>
  <c r="B33" i="1"/>
  <c r="C33" i="1" s="1"/>
  <c r="B34" i="1"/>
  <c r="C34" i="1" s="1"/>
  <c r="B35" i="1"/>
  <c r="C35" i="1" s="1"/>
  <c r="B50" i="1"/>
  <c r="C50" i="1" s="1"/>
  <c r="B30" i="1"/>
  <c r="C30" i="1" s="1"/>
  <c r="B42" i="1"/>
  <c r="C42" i="1" s="1"/>
  <c r="B40" i="1"/>
  <c r="C40" i="1" s="1"/>
  <c r="B41" i="1"/>
  <c r="C41" i="1" s="1"/>
  <c r="B39" i="1"/>
  <c r="C39" i="1" s="1"/>
  <c r="B48" i="1"/>
  <c r="C48" i="1" s="1"/>
  <c r="B6" i="1"/>
  <c r="C6" i="1" s="1"/>
  <c r="B31" i="1"/>
  <c r="C31" i="1" s="1"/>
  <c r="B26" i="1"/>
  <c r="C26" i="1" s="1"/>
  <c r="B21" i="1"/>
  <c r="C21" i="1" s="1"/>
  <c r="B18" i="1"/>
  <c r="C18" i="1" s="1"/>
  <c r="B27" i="1"/>
  <c r="C27" i="1" s="1"/>
  <c r="B24" i="1"/>
  <c r="C24" i="1" s="1"/>
  <c r="B15" i="1"/>
  <c r="C15" i="1" s="1"/>
  <c r="B17" i="1"/>
  <c r="C17" i="1" s="1"/>
  <c r="B23" i="1"/>
  <c r="C23" i="1" s="1"/>
  <c r="B19" i="1"/>
  <c r="C19" i="1" s="1"/>
  <c r="B28" i="1"/>
  <c r="C28" i="1" s="1"/>
  <c r="B29" i="1"/>
  <c r="C29" i="1" s="1"/>
  <c r="B14" i="1"/>
  <c r="C14" i="1" s="1"/>
  <c r="B20" i="1"/>
  <c r="C20" i="1" s="1"/>
  <c r="B16" i="1"/>
  <c r="C16" i="1" s="1"/>
  <c r="B25" i="1"/>
  <c r="C25" i="1" s="1"/>
  <c r="B8" i="1"/>
  <c r="C8" i="1" s="1"/>
  <c r="B2" i="1"/>
  <c r="C2" i="1" s="1"/>
  <c r="B7" i="1"/>
  <c r="C7" i="1" s="1"/>
  <c r="B13" i="1"/>
  <c r="C13" i="1" s="1"/>
  <c r="B3" i="1"/>
  <c r="C3" i="1" s="1"/>
  <c r="B12" i="1"/>
  <c r="C12" i="1" s="1"/>
  <c r="B11" i="1"/>
  <c r="C11" i="1" s="1"/>
  <c r="B4" i="1"/>
  <c r="C4" i="1" s="1"/>
  <c r="B5" i="1"/>
  <c r="C5" i="1" s="1"/>
  <c r="B10" i="1"/>
  <c r="C10" i="1" s="1"/>
  <c r="B9" i="1"/>
  <c r="C9" i="1" s="1"/>
  <c r="B22" i="1" l="1"/>
  <c r="C22" i="1" s="1"/>
</calcChain>
</file>

<file path=xl/sharedStrings.xml><?xml version="1.0" encoding="utf-8"?>
<sst xmlns="http://schemas.openxmlformats.org/spreadsheetml/2006/main" count="419" uniqueCount="117">
  <si>
    <t>Валюта</t>
  </si>
  <si>
    <t>Відображати</t>
  </si>
  <si>
    <t>Наявність</t>
  </si>
  <si>
    <t>Назва юа</t>
  </si>
  <si>
    <t>Назва ру</t>
  </si>
  <si>
    <t>Назва мод юа</t>
  </si>
  <si>
    <t>Назва мод ру</t>
  </si>
  <si>
    <t>Раздел</t>
  </si>
  <si>
    <t>EUR</t>
  </si>
  <si>
    <t>Да</t>
  </si>
  <si>
    <t>В наявності</t>
  </si>
  <si>
    <t>Комплект безперебійного живлення TMS 230В 3кВА – 2,4кВт з акумулятором 5кВт.г</t>
  </si>
  <si>
    <t>Комплект бесперебойного питания TMS 230В 3 кВА – 2,4 кВт с аккумулятором 5 кВт.ч</t>
  </si>
  <si>
    <t>Каталог/Комплекти безперебійного живлення</t>
  </si>
  <si>
    <t>Комплект безперебійного живлення TMS 230В 3кВА – 2,4кВт з акумулятором 5кВт.г з WiFi</t>
  </si>
  <si>
    <t>Комплект бесперебойного питания TMS 230В 3 кВА – 2,4 кВт с аккумулятором 5 кВт.ч с WiFi</t>
  </si>
  <si>
    <t>Комплект безперебійного живлення TMS 230В 5кВА – 4кВт з акумулятором 10кВт.г</t>
  </si>
  <si>
    <t>Комплект бесперебойного питания TMS 230В 5 кВА – 4 кВт с аккумулятором 10 кВт.ч</t>
  </si>
  <si>
    <t>Комплект безперебійного живлення TMS 230В 5кВА – 4кВт з акумулятором 10кВт.г з WiFi</t>
  </si>
  <si>
    <t>Комплект бесперебойного питания TMS 230В 5 кВА – 4 кВт с аккумулятором 10 кВт.ч с WiFi</t>
  </si>
  <si>
    <t>Комплект безперебійного живлення TMS 230В 5кВА – 4кВт з акумулятором 15кВт.г з WiFi</t>
  </si>
  <si>
    <t>Комплект бесперебойного питания TMS 230В 5 кВА – 4 кВт с аккумулятором 15 кВт.ч с WiFi</t>
  </si>
  <si>
    <t>Комплект безперебійного живлення TMS 230В 8кВА – 6,4кВт з акумулятором 10кВт.г з WiFi</t>
  </si>
  <si>
    <t>Комплект бесперебойного питания TMS 230В 8 кВА – 6,4 кВт с аккумулятором 10 кВт.ч с WiFi</t>
  </si>
  <si>
    <t>Комплект безперебійного живлення TMS 230В 8кВА – 6,4кВт з акумулятором 15кВт.г з WiFi</t>
  </si>
  <si>
    <t>Комплект бесперебойного питания TMS 230В 8 кВА – 6,4 кВт с аккумулятором 15 кВт.ч с WiFi</t>
  </si>
  <si>
    <t>Комплект безперебійного живлення TMS 230В 10кВА – 8кВт з акумулятором 15кВт.г з WiFi</t>
  </si>
  <si>
    <t>Комплект бесперебойного питания TMS 230В 10 кВА – 8 кВт с аккумулятором 15 кВт.ч с WiFi</t>
  </si>
  <si>
    <t>Комплект безперебійного живлення TMS 230В 10кВА – 8кВт з акумулятором 20кВт.г з WiFi</t>
  </si>
  <si>
    <t>Комплект бесперебойного питания TMS 230В 10 кВА – 8 кВт с аккумулятором 20 кВт.ч с WiFi</t>
  </si>
  <si>
    <t>Комплект безперебійного живлення TMS 230В 15кВА – 12кВт з акумулятором 20кВт.г з WiFi</t>
  </si>
  <si>
    <t>Комплект бесперебойного питания TMS 230В 15 кВА – 12 кВт с аккумулятором 20 кВт.ч с WiFi</t>
  </si>
  <si>
    <t>Комплект безперебійного живлення TMS 230В 15кВА – 12кВт з акумулятором 25кВт.г з WiFi</t>
  </si>
  <si>
    <t>Комплект бесперебойного питания TMS 230В 15 кВА – 12 кВт с аккумулятором 25 кВт.ч с WiFi</t>
  </si>
  <si>
    <t>Комплект безперебійного живлення TMS 230В 15кВА – 12кВт з акумулятором 30кВт.г з WiFi</t>
  </si>
  <si>
    <t>Комплект бесперебойного питания TMS 230В 15 кВА – 12 кВт с аккумулятором 30 кВт.ч с WiFi</t>
  </si>
  <si>
    <t>Комплект безперебійного живлення TMS 400В 9кВА – 7,2кВт з акумулятором 10кВт.г з WiFi</t>
  </si>
  <si>
    <t>Комплект бесперебойного питания TMS 400В 9 кВА – 7,2 кВт с аккумулятором 10 кВт.ч с WiFi</t>
  </si>
  <si>
    <t>Комплект безперебійного живлення TMS 400В 9кВА – 7,2кВт з акумулятором 15кВт.г з WiFi</t>
  </si>
  <si>
    <t>Комплект бесперебойного питания TMS 400В 9 кВА – 7,2 кВт с аккумулятором 15 кВт.ч с WiFi</t>
  </si>
  <si>
    <t>Комплект безперебійного живлення TMS 400В 9кВА – 7,2кВт з акумулятором 20кВт.г з WiFi</t>
  </si>
  <si>
    <t>Комплект бесперебойного питания TMS 400В 9 кВА – 7,2 кВт с аккумулятором 20 кВт.ч с WiFi</t>
  </si>
  <si>
    <t>Комплект безперебійного живлення TMS 400В 15кВА – 12кВт з акумулятором 15кВт.г з WiFi</t>
  </si>
  <si>
    <t>Комплект бесперебойного питания TMS 400В 15 кВА – 12 кВт с аккумулятором 15 кВт.ч с WiFi</t>
  </si>
  <si>
    <t>Комплект безперебійного живлення TMS 400В 15кВА – 12кВт з акумулятором 20кВт.г з WiFi</t>
  </si>
  <si>
    <t>Комплект бесперебойного питания TMS 400В 15 кВА – 12 кВт с аккумулятором 20 кВт.ч с WiFi</t>
  </si>
  <si>
    <t>Комплект безперебійного живлення TMS 400В 15кВА – 12кВт з акумулятором 25кВт.г з WiFi</t>
  </si>
  <si>
    <t>Комплект бесперебойного питания TMS 400В 15 кВА – 12 кВт с аккумулятором 25 кВт.ч с WiFi</t>
  </si>
  <si>
    <t>Комплект безперебійного живлення TMS 400В 24кВА – 19,2кВт з акумулятором 25кВт.г з WiFi</t>
  </si>
  <si>
    <t>Комплект бесперебойного питания TMS 400В 24 кВА – 19,2 кВт с аккумулятором 25 кВт.ч с WiFi</t>
  </si>
  <si>
    <t>Комплект безперебійного живлення TMS 400В 24кВА – 19,2кВт з акумулятором 30кВт.г з WiFi</t>
  </si>
  <si>
    <t>Комплект бесперебойного питания TMS 400В 24 кВА – 19,2 кВт с аккумулятором 30 кВт.ч с WiFi</t>
  </si>
  <si>
    <t>Комплект безперебійного живлення TMS 400В 24кВА – 19,2кВт з акумулятором 40кВт.г з WiFi</t>
  </si>
  <si>
    <t>Комплект бесперебойного питания TMS 400В 24 кВА – 19,2 кВт с аккумулятором 40 кВт.ч с WiFi</t>
  </si>
  <si>
    <t>Комплект безперебійного живлення TMS 400В 24кВА – 19,2кВт з акумулятором 50кВт.г з WiFi</t>
  </si>
  <si>
    <t>Комплект бесперебойного питания TMS 400В 24 кВА – 19,2 кВт с аккумулятором 50 кВт.ч с WiFi</t>
  </si>
  <si>
    <t>Комплект безперебійного живлення TMS 400В 30кВА – 24кВт з акумулятором 40кВт.г з WiFi</t>
  </si>
  <si>
    <t>Комплект бесперебойного питания TMS 400В 30 кВА – 24 кВт с аккумулятором 40 кВт.ч с WiFi</t>
  </si>
  <si>
    <t>Комплект безперебійного живлення TMS 400В 30кВА – 24кВт з акумулятором 50кВт.г з WiFi</t>
  </si>
  <si>
    <t>Комплект бесперебойного питания TMS 400В 30 кВА – 24 кВт с аккумулятором 50 кВт.ч с WiFi</t>
  </si>
  <si>
    <t>Комплект безперебійного живлення TMS 400В 30кВА – 24кВт з акумулятором 60кВт.г з WiFi</t>
  </si>
  <si>
    <t>Комплект бесперебойного питания TMS 400В 30 кВА – 24 кВт с аккумулятором 60 кВт.ч с WiFi</t>
  </si>
  <si>
    <t>Комплект безперебійного живлення TMS 400В 45кВА – 36кВт з акумулятором 45кВт.г з WiFi</t>
  </si>
  <si>
    <t>Комплект бесперебойного питания TMS 400В 45 кВА – 36 кВт с аккумулятором 45 кВт.ч с WiFi</t>
  </si>
  <si>
    <t>Комплект безперебійного живлення TMS 400В 45кВА – 36кВт з акумулятором 60кВт.г з WiFi</t>
  </si>
  <si>
    <t>Комплект бесперебойного питания TMS 400В 45 кВА – 36 кВт с аккумулятором 60 кВт.ч с WiFi</t>
  </si>
  <si>
    <t>Комплект безперебійного живлення TMS 400В 45кВА – 36кВт з акумулятором 75кВт.г з WiFi</t>
  </si>
  <si>
    <t>Комплект бесперебойного питания TMS 400В 45 кВА – 36 кВт с аккумулятором 75 кВт.ч с WiFi</t>
  </si>
  <si>
    <t>Комплект безперебійного живлення 230В 5кВА – 4кВт з акумулятором 10кВт.г з WiFi</t>
  </si>
  <si>
    <t>Комплект бесперебойного питания 230В 5 кВА – 4 кВт с аккумулятором 10 кВт.ч с WiFi</t>
  </si>
  <si>
    <t>Комплект безперебійного живлення 230В 5кВА – 4кВт з акумулятором 15кВт.г з WiFi</t>
  </si>
  <si>
    <t>Комплект бесперебойного питания 230В 5 кВА – 4 кВт с аккумулятором 15 кВт.ч с WiFi</t>
  </si>
  <si>
    <t>Комплект безперебійного живлення 230В 8кВА – 6,4кВт з акумулятором 10кВт.г з WiFi</t>
  </si>
  <si>
    <t>Комплект бесперебойного питания 230В 8 кВА – 6,4 кВт с аккумулятором 10 кВт.ч с WiFi</t>
  </si>
  <si>
    <t>Комплект безперебійного живлення 230В 8кВА – 6,4кВт з акумулятором 15кВт.г з WiFi</t>
  </si>
  <si>
    <t>Комплект бесперебойного питания 230В 8 кВА – 6,4 кВт с аккумулятором 15 кВт.ч с WiFi</t>
  </si>
  <si>
    <t>Комплект безперебійного живлення 230В 10кВА – 8кВт з акумулятором 15кВт.г з WiFi</t>
  </si>
  <si>
    <t>Комплект бесперебойного питания 230В 10 кВА – 8 кВт с аккумулятором 15 кВт.ч с WiFi</t>
  </si>
  <si>
    <t>Комплект безперебійного живлення 230В 10кВА – 8кВт з акумулятором 20кВт.г з WiFi</t>
  </si>
  <si>
    <t>Комплект бесперебойного питания 230В 10 кВА – 8 кВт с аккумулятором 20 кВт.ч с WiFi</t>
  </si>
  <si>
    <t>Комплект безперебійного живлення 230В 10кВА – 8кВт з акумулятором 25кВт.г з WiFi</t>
  </si>
  <si>
    <t>Комплект бесперебойного питания 230В 10 кВА – 8 кВт с аккумулятором 25 кВт.ч с WiFi</t>
  </si>
  <si>
    <t>Комплект безперебійного живлення 230В 15кВА – 12кВт з акумулятором 20кВт.г з WiFi</t>
  </si>
  <si>
    <t>Комплект бесперебойного питания 230В 15 кВА – 12 кВт с аккумулятором 20 кВт.ч с WiFi</t>
  </si>
  <si>
    <t>Комплект безперебійного живлення 230В 15кВА – 12кВт з акумулятором 25кВт.г з WiFi</t>
  </si>
  <si>
    <t>Комплект бесперебойного питания 230В 15 кВА – 12 кВт с аккумулятором 25 кВт.ч с WiFi</t>
  </si>
  <si>
    <t>Комплект безперебійного живлення 230В 15кВА – 12кВт з акумулятором 30кВт.г з WiFi</t>
  </si>
  <si>
    <t>Комплект бесперебойного питания 230В 15 кВА – 12 кВт с аккумулятором 30 кВт.ч с WiFi</t>
  </si>
  <si>
    <t>Комплект безперебійного живлення 400В 15кВА – 12кВт з акумулятором 15кВт.г з WiFi</t>
  </si>
  <si>
    <t>Комплект бесперебойного питания 400В 15 кВА – 12 кВт с аккумулятором 15 кВт.ч с WiFi</t>
  </si>
  <si>
    <t>Комплект безперебійного живлення 400В 15кВА – 12кВт з акумулятором 20кВт.г з WiFi</t>
  </si>
  <si>
    <t>Комплект бесперебойного питания 400В 15 кВА – 12 кВт с аккумулятором 20 кВт.ч с WiFi</t>
  </si>
  <si>
    <t>Комплект безперебійного живлення 400В 15кВА – 12кВт з акумулятором 25кВт.г з WiFi</t>
  </si>
  <si>
    <t>Комплект бесперебойного питания 400В 15 кВА – 12 кВт с аккумулятором 25 кВт.ч с WiFi</t>
  </si>
  <si>
    <t>Комплект безперебійного живлення 400В 24кВА – 19,2кВт з акумулятором 25кВт.г з WiFi</t>
  </si>
  <si>
    <t>Комплект бесперебойного питания 400В 24 кВА – 19,2 кВт с аккумулятором 25 кВт.ч с WiFi</t>
  </si>
  <si>
    <t>Комплект безперебійного живлення 400В 24кВА – 19,2кВт з акумулятором 30кВт.г з WiFi</t>
  </si>
  <si>
    <t>Комплект бесперебойного питания 400В 24 кВА – 19,2 кВт с аккумулятором 30 кВт.ч с WiFi</t>
  </si>
  <si>
    <t>Комплект безперебійного живлення 400В 24кВА – 19,2кВт з акумулятором 40кВт.г з WiFi</t>
  </si>
  <si>
    <t>Комплект бесперебойного питания 400В 24 кВА – 19,2 кВт с аккумулятором 40 кВт.ч с WiFi</t>
  </si>
  <si>
    <t>Комплект безперебійного живлення 400В 30кВА – 24кВт з акумулятором 40кВт.г з WiFi</t>
  </si>
  <si>
    <t>Комплект бесперебойного питания 400В 30 кВА – 24 кВт с аккумулятором 40 кВт.ч с WiFi</t>
  </si>
  <si>
    <t>Комплект безперебійного живлення 400В 30кВА – 24кВт з акумулятором 50кВт.г з WiFi</t>
  </si>
  <si>
    <t>Комплект бесперебойного питания 400В 30 кВА – 24 кВт с аккумулятором 50 кВт.ч с WiFi</t>
  </si>
  <si>
    <t>Комплект безперебійного живлення 400В 30кВА – 24кВт з акумулятором 60кВт.г з WiFi</t>
  </si>
  <si>
    <t>Комплект бесперебойного питания 400В 30 кВА – 24 кВт с аккумулятором 60 кВт.ч с WiFi</t>
  </si>
  <si>
    <t>Комплект безперебійного живлення 400В 45кВА – 36кВт з акумулятором 60кВт.г з WiFi</t>
  </si>
  <si>
    <t>Комплект бесперебойного питания 400В 45 кВА – 36 кВт с аккумулятором 60 кВт.ч с WiFi</t>
  </si>
  <si>
    <t>Комплект безперебійного живлення 400В 45кВА – 36кВт з акумулятором 75кВт.г з WiFi</t>
  </si>
  <si>
    <t>Комплект бесперебойного питания 400В 45 кВА – 36 кВт с аккумулятором 75 кВт.ч с WiFi</t>
  </si>
  <si>
    <t>Комплект безперебійного живлення 400В 45кВА – 36кВт з акумулятором 90кВт.г з WiFi</t>
  </si>
  <si>
    <t>Комплект бесперебойного питания 400В 45 кВА – 36 кВт с аккумулятором 90 кВт.ч с WiFi</t>
  </si>
  <si>
    <t>Комплект безперебійного живлення 400В 45кВА – 36кВт з акумулятором 100кВт.г з WiFi</t>
  </si>
  <si>
    <t>Комплект бесперебойного питания 400В 45 кВА – 36 кВт с аккумулятором 100 кВт.ч с WiFi</t>
  </si>
  <si>
    <t>Артикул</t>
  </si>
  <si>
    <t>Ціна</t>
  </si>
  <si>
    <t>стара ціна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</si>
</sst>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charset val="204"/>
      <scheme val="minor"/>
    </font>
    <font>
      <sz val="10"/>
      <color rgb="FF000000"/>
      <name val="Calibri"/>
      <family val="2"/>
      <charset val="204"/>
      <scheme val="minor"/>
    </font>
    <font>
      <sz val="9"/>
      <color rgb="FF000000"/>
      <name val="Arial"/>
      <family val="2"/>
      <charset val="204"/>
    </font>
    <font>
      <b/>
      <sz val="11"/>
      <color rgb="FF3F3F3F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medium">
        <color rgb="FF3F3F3F"/>
      </left>
      <right style="medium">
        <color rgb="FF3F3F3F"/>
      </right>
      <top style="medium">
        <color rgb="FF3F3F3F"/>
      </top>
      <bottom style="medium">
        <color rgb="FF3F3F3F"/>
      </bottom>
      <diagonal/>
    </border>
    <border>
      <left style="medium">
        <color rgb="FFCCCCCC"/>
      </left>
      <right style="medium">
        <color rgb="FF3F3F3F"/>
      </right>
      <top style="medium">
        <color rgb="FF3F3F3F"/>
      </top>
      <bottom style="medium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7">
    <xf numFmtId="0" fontId="0" fillId="0" borderId="0" xfId="0"/>
    <xf numFmtId="0" fontId="1" fillId="2" borderId="1" xfId="1" applyAlignment="1"/>
    <xf numFmtId="0" fontId="2" fillId="0" borderId="0" xfId="0" applyFont="1"/>
    <xf numFmtId="0" fontId="3" fillId="0" borderId="0" xfId="0" applyFont="1"/>
    <xf numFmtId="0" fontId="4" fillId="3" borderId="2" xfId="0" applyFont="1" applyFill="1" applyBorder="1" applyAlignment="1">
      <alignment wrapText="1"/>
    </xf>
    <xf numFmtId="0" fontId="4" fillId="3" borderId="3" xfId="0" applyFont="1" applyFill="1" applyBorder="1" applyAlignment="1">
      <alignment wrapText="1"/>
    </xf>
    <xf numFmtId="0" fontId="4" fillId="3" borderId="0" xfId="0" applyFont="1" applyFill="1" applyBorder="1" applyAlignment="1">
      <alignment wrapText="1"/>
    </xf>
  </cellXfs>
  <cellStyles count="2">
    <cellStyle name="Звичайний" xfId="0" builtinId="0"/>
    <cellStyle name="Результат" xfId="1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50;&#1086;&#1084;&#1087;&#1083;&#1077;&#1082;&#1090;&#1080;%20Total-Energ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Вигрузка"/>
      <sheetName val="Компонети"/>
      <sheetName val="MultiPlus &amp; Sunlight"/>
      <sheetName val="Quattro &amp; Sunlight"/>
      <sheetName val="Технічні параметри 230В"/>
      <sheetName val="Технічні параметри 400В"/>
    </sheetNames>
    <sheetDataSet>
      <sheetData sheetId="0" refreshError="1"/>
      <sheetData sheetId="1" refreshError="1"/>
      <sheetData sheetId="2">
        <row r="2">
          <cell r="H2" t="str">
            <v>TMS4801001003</v>
          </cell>
          <cell r="I2">
            <v>1900.2399999999998</v>
          </cell>
        </row>
        <row r="3">
          <cell r="H3" t="str">
            <v>TMS4801001003GX</v>
          </cell>
          <cell r="I3">
            <v>1978.54</v>
          </cell>
        </row>
        <row r="4">
          <cell r="H4" t="str">
            <v>TMS4802001005</v>
          </cell>
          <cell r="I4">
            <v>3768.8599999999997</v>
          </cell>
        </row>
        <row r="5">
          <cell r="H5" t="str">
            <v>TMS4802001005GX</v>
          </cell>
          <cell r="I5">
            <v>3954.26</v>
          </cell>
        </row>
        <row r="6">
          <cell r="H6" t="str">
            <v>TMS4803001005GX</v>
          </cell>
          <cell r="I6">
            <v>5209.38</v>
          </cell>
        </row>
        <row r="7">
          <cell r="H7" t="str">
            <v>TMS4802001008GX</v>
          </cell>
          <cell r="I7">
            <v>4781.46</v>
          </cell>
        </row>
        <row r="8">
          <cell r="H8" t="str">
            <v>TMS4803001008GX</v>
          </cell>
          <cell r="I8">
            <v>6036.58</v>
          </cell>
        </row>
        <row r="9">
          <cell r="H9" t="str">
            <v>TMS4803001010GX</v>
          </cell>
          <cell r="I9">
            <v>6366.2800000000007</v>
          </cell>
        </row>
        <row r="10">
          <cell r="H10" t="str">
            <v>TMS4804001010GX</v>
          </cell>
          <cell r="I10">
            <v>7821.4</v>
          </cell>
        </row>
        <row r="11">
          <cell r="H11" t="str">
            <v>TMS4804001015GX</v>
          </cell>
          <cell r="I11">
            <v>8524.42</v>
          </cell>
        </row>
        <row r="12">
          <cell r="H12" t="str">
            <v>TMS4805001015GX</v>
          </cell>
          <cell r="I12">
            <v>9784.5399999999991</v>
          </cell>
        </row>
        <row r="13">
          <cell r="H13" t="str">
            <v>TMS4806001015GX</v>
          </cell>
          <cell r="I13">
            <v>11039.66</v>
          </cell>
        </row>
        <row r="14">
          <cell r="H14" t="str">
            <v>TMS4802003009GX</v>
          </cell>
          <cell r="I14">
            <v>5483.5999999999995</v>
          </cell>
        </row>
        <row r="15">
          <cell r="H15" t="str">
            <v>TMS4803003009GX</v>
          </cell>
          <cell r="I15">
            <v>6738.7199999999993</v>
          </cell>
        </row>
        <row r="16">
          <cell r="H16" t="str">
            <v>TMS4804003009GX</v>
          </cell>
          <cell r="I16">
            <v>8013.84</v>
          </cell>
        </row>
        <row r="17">
          <cell r="H17" t="str">
            <v>TMS4803003015GX</v>
          </cell>
          <cell r="I17">
            <v>7454.2199999999993</v>
          </cell>
        </row>
        <row r="18">
          <cell r="H18" t="str">
            <v>TMS4804003015GX</v>
          </cell>
          <cell r="I18">
            <v>8729.34</v>
          </cell>
        </row>
        <row r="19">
          <cell r="H19" t="str">
            <v>TMS4805003015GX</v>
          </cell>
          <cell r="I19">
            <v>9989.4599999999991</v>
          </cell>
        </row>
        <row r="20">
          <cell r="H20" t="str">
            <v>TMS4805003024GX</v>
          </cell>
          <cell r="I20">
            <v>12098.259999999998</v>
          </cell>
        </row>
        <row r="21">
          <cell r="H21" t="str">
            <v>TMS4806003024GX</v>
          </cell>
          <cell r="I21">
            <v>13533.38</v>
          </cell>
        </row>
        <row r="22">
          <cell r="H22" t="str">
            <v>TMS4808003024GX</v>
          </cell>
          <cell r="I22">
            <v>16158.619999999999</v>
          </cell>
        </row>
        <row r="23">
          <cell r="H23" t="str">
            <v>TMS4810003024GX</v>
          </cell>
          <cell r="I23">
            <v>18678.86</v>
          </cell>
        </row>
        <row r="24">
          <cell r="H24" t="str">
            <v>TMS4808003030GX</v>
          </cell>
          <cell r="I24">
            <v>17355.080000000002</v>
          </cell>
        </row>
        <row r="25">
          <cell r="H25" t="str">
            <v>TMS4810003030GX</v>
          </cell>
          <cell r="I25">
            <v>19875.32</v>
          </cell>
        </row>
        <row r="26">
          <cell r="H26" t="str">
            <v>TMS4812003030GX</v>
          </cell>
          <cell r="I26">
            <v>22675.559999999998</v>
          </cell>
        </row>
        <row r="27">
          <cell r="H27" t="str">
            <v>TMS4809003045GX</v>
          </cell>
          <cell r="I27">
            <v>20701.899999999998</v>
          </cell>
        </row>
        <row r="28">
          <cell r="H28" t="str">
            <v>TMS4812003045GX</v>
          </cell>
          <cell r="I28">
            <v>24647.26</v>
          </cell>
        </row>
        <row r="29">
          <cell r="H29" t="str">
            <v>TMS4815003045GX</v>
          </cell>
          <cell r="I29">
            <v>28717.619999999995</v>
          </cell>
        </row>
      </sheetData>
      <sheetData sheetId="3">
        <row r="3">
          <cell r="H3" t="str">
            <v>TQS4802001005GX</v>
          </cell>
          <cell r="I3">
            <v>4498.8599999999997</v>
          </cell>
        </row>
        <row r="4">
          <cell r="H4" t="str">
            <v>TQS4803001005GX</v>
          </cell>
          <cell r="I4">
            <v>5753.98</v>
          </cell>
        </row>
        <row r="5">
          <cell r="H5" t="str">
            <v>TQS4802001008GX</v>
          </cell>
          <cell r="I5">
            <v>5327.5599999999995</v>
          </cell>
        </row>
        <row r="6">
          <cell r="H6" t="str">
            <v>TQS4803001008GX</v>
          </cell>
          <cell r="I6">
            <v>6582.68</v>
          </cell>
        </row>
        <row r="7">
          <cell r="H7" t="str">
            <v>TQS4803001010GX</v>
          </cell>
          <cell r="I7">
            <v>7014.98</v>
          </cell>
        </row>
        <row r="8">
          <cell r="H8" t="str">
            <v>TQS4804001010GX</v>
          </cell>
          <cell r="I8">
            <v>8470.1</v>
          </cell>
        </row>
        <row r="9">
          <cell r="H9" t="str">
            <v>TQS4805001010GX</v>
          </cell>
          <cell r="I9">
            <v>9730.2199999999993</v>
          </cell>
        </row>
        <row r="10">
          <cell r="H10" t="str">
            <v>TQS4804001015GX</v>
          </cell>
          <cell r="I10">
            <v>9225.32</v>
          </cell>
        </row>
        <row r="11">
          <cell r="H11" t="str">
            <v>TQS4805001015GX</v>
          </cell>
          <cell r="I11">
            <v>10485.439999999999</v>
          </cell>
        </row>
        <row r="12">
          <cell r="H12" t="str">
            <v>TQS4806001015GX</v>
          </cell>
          <cell r="I12">
            <v>11740.56</v>
          </cell>
        </row>
        <row r="13">
          <cell r="H13" t="str">
            <v>TQS4803003015GX</v>
          </cell>
          <cell r="I13">
            <v>8615.2199999999975</v>
          </cell>
        </row>
        <row r="14">
          <cell r="H14" t="str">
            <v>TQS4804003015GX</v>
          </cell>
          <cell r="I14">
            <v>9890.3399999999983</v>
          </cell>
        </row>
        <row r="15">
          <cell r="H15" t="str">
            <v>TQS4805003015GX</v>
          </cell>
          <cell r="I15">
            <v>11150.46</v>
          </cell>
        </row>
        <row r="16">
          <cell r="H16" t="str">
            <v>TQS4805003024GX</v>
          </cell>
          <cell r="I16">
            <v>13661.560000000001</v>
          </cell>
        </row>
        <row r="17">
          <cell r="H17" t="str">
            <v>TQS4806003024GX</v>
          </cell>
          <cell r="I17">
            <v>15096.68</v>
          </cell>
        </row>
        <row r="18">
          <cell r="H18" t="str">
            <v>TQS4808003024GX</v>
          </cell>
          <cell r="I18">
            <v>17721.919999999998</v>
          </cell>
        </row>
        <row r="19">
          <cell r="H19" t="str">
            <v>TQS4808003030GX</v>
          </cell>
          <cell r="I19">
            <v>19226.18</v>
          </cell>
        </row>
        <row r="20">
          <cell r="H20" t="str">
            <v>TQS4810003030GX</v>
          </cell>
          <cell r="I20">
            <v>21746.42</v>
          </cell>
        </row>
        <row r="21">
          <cell r="H21" t="str">
            <v>TQS4812003030GX</v>
          </cell>
          <cell r="I21">
            <v>24436.659999999996</v>
          </cell>
        </row>
        <row r="22">
          <cell r="H22" t="str">
            <v>TQS4812003045GX</v>
          </cell>
          <cell r="I22">
            <v>26674.959999999999</v>
          </cell>
        </row>
        <row r="23">
          <cell r="H23" t="str">
            <v>TQS4815003045GX</v>
          </cell>
          <cell r="I23">
            <v>30745.32</v>
          </cell>
        </row>
        <row r="24">
          <cell r="H24" t="str">
            <v>TQS4818003045GX</v>
          </cell>
          <cell r="I24">
            <v>34510.68</v>
          </cell>
        </row>
        <row r="25">
          <cell r="H25" t="str">
            <v>TQS4820003045GX</v>
          </cell>
          <cell r="I25">
            <v>37200.92</v>
          </cell>
        </row>
      </sheetData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2"/>
  <sheetViews>
    <sheetView tabSelected="1" topLeftCell="A25" workbookViewId="0">
      <selection activeCell="A52" sqref="A52"/>
    </sheetView>
  </sheetViews>
  <sheetFormatPr defaultRowHeight="15" customHeight="1" x14ac:dyDescent="0.25"/>
  <sheetData>
    <row r="1" spans="1:11" ht="15" customHeight="1" thickBot="1" x14ac:dyDescent="0.3">
      <c r="A1" s="4" t="s">
        <v>114</v>
      </c>
      <c r="B1" s="5" t="s">
        <v>115</v>
      </c>
      <c r="C1" s="6" t="s">
        <v>116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ht="15" customHeight="1" x14ac:dyDescent="0.25">
      <c r="A2" t="str">
        <f>'[1]MultiPlus &amp; Sunlight'!H2</f>
        <v>TMS4801001003</v>
      </c>
      <c r="B2">
        <f>'[1]MultiPlus &amp; Sunlight'!I2</f>
        <v>1900.2399999999998</v>
      </c>
      <c r="C2">
        <f>B2*1.25</f>
        <v>2375.2999999999997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11</v>
      </c>
      <c r="J2" s="2" t="s">
        <v>12</v>
      </c>
      <c r="K2" s="3" t="s">
        <v>13</v>
      </c>
    </row>
    <row r="3" spans="1:11" ht="15" customHeight="1" x14ac:dyDescent="0.25">
      <c r="A3" t="str">
        <f>'[1]MultiPlus &amp; Sunlight'!H3</f>
        <v>TMS4801001003GX</v>
      </c>
      <c r="B3">
        <f>'[1]MultiPlus &amp; Sunlight'!I3</f>
        <v>1978.54</v>
      </c>
      <c r="C3">
        <f t="shared" ref="C3:C52" si="0">B3*1.25</f>
        <v>2473.1750000000002</v>
      </c>
      <c r="D3" s="2" t="s">
        <v>8</v>
      </c>
      <c r="E3" s="2" t="s">
        <v>9</v>
      </c>
      <c r="F3" s="2" t="s">
        <v>10</v>
      </c>
      <c r="G3" s="2" t="s">
        <v>14</v>
      </c>
      <c r="H3" s="2" t="s">
        <v>15</v>
      </c>
      <c r="I3" s="2" t="s">
        <v>14</v>
      </c>
      <c r="J3" s="2" t="s">
        <v>15</v>
      </c>
      <c r="K3" s="3" t="s">
        <v>13</v>
      </c>
    </row>
    <row r="4" spans="1:11" ht="15" customHeight="1" x14ac:dyDescent="0.25">
      <c r="A4" t="str">
        <f>'[1]MultiPlus &amp; Sunlight'!H4</f>
        <v>TMS4802001005</v>
      </c>
      <c r="B4">
        <f>'[1]MultiPlus &amp; Sunlight'!I4</f>
        <v>3768.8599999999997</v>
      </c>
      <c r="C4">
        <f t="shared" si="0"/>
        <v>4711.0749999999998</v>
      </c>
      <c r="D4" s="2" t="s">
        <v>8</v>
      </c>
      <c r="E4" s="2" t="s">
        <v>9</v>
      </c>
      <c r="F4" s="2" t="s">
        <v>10</v>
      </c>
      <c r="G4" s="2" t="s">
        <v>16</v>
      </c>
      <c r="H4" s="2" t="s">
        <v>17</v>
      </c>
      <c r="I4" s="2" t="s">
        <v>16</v>
      </c>
      <c r="J4" s="2" t="s">
        <v>17</v>
      </c>
      <c r="K4" s="3" t="s">
        <v>13</v>
      </c>
    </row>
    <row r="5" spans="1:11" ht="15" customHeight="1" x14ac:dyDescent="0.25">
      <c r="A5" t="str">
        <f>'[1]MultiPlus &amp; Sunlight'!H5</f>
        <v>TMS4802001005GX</v>
      </c>
      <c r="B5">
        <f>'[1]MultiPlus &amp; Sunlight'!I5</f>
        <v>3954.26</v>
      </c>
      <c r="C5">
        <f t="shared" si="0"/>
        <v>4942.8250000000007</v>
      </c>
      <c r="D5" s="2" t="s">
        <v>8</v>
      </c>
      <c r="E5" s="2" t="s">
        <v>9</v>
      </c>
      <c r="F5" s="2" t="s">
        <v>10</v>
      </c>
      <c r="G5" s="2" t="s">
        <v>18</v>
      </c>
      <c r="H5" s="2" t="s">
        <v>19</v>
      </c>
      <c r="I5" s="2" t="s">
        <v>18</v>
      </c>
      <c r="J5" s="2" t="s">
        <v>19</v>
      </c>
      <c r="K5" s="3" t="s">
        <v>13</v>
      </c>
    </row>
    <row r="6" spans="1:11" ht="15" customHeight="1" x14ac:dyDescent="0.25">
      <c r="A6" t="str">
        <f>'[1]MultiPlus &amp; Sunlight'!H6</f>
        <v>TMS4803001005GX</v>
      </c>
      <c r="B6">
        <f>'[1]MultiPlus &amp; Sunlight'!I6</f>
        <v>5209.38</v>
      </c>
      <c r="C6">
        <f t="shared" si="0"/>
        <v>6511.7250000000004</v>
      </c>
      <c r="D6" s="2" t="s">
        <v>8</v>
      </c>
      <c r="E6" s="2" t="s">
        <v>9</v>
      </c>
      <c r="F6" s="2" t="s">
        <v>10</v>
      </c>
      <c r="G6" s="2" t="s">
        <v>20</v>
      </c>
      <c r="H6" s="2" t="s">
        <v>21</v>
      </c>
      <c r="I6" s="2" t="s">
        <v>20</v>
      </c>
      <c r="J6" s="2" t="s">
        <v>21</v>
      </c>
      <c r="K6" s="3" t="s">
        <v>13</v>
      </c>
    </row>
    <row r="7" spans="1:11" ht="15" customHeight="1" x14ac:dyDescent="0.25">
      <c r="A7" t="str">
        <f>'[1]MultiPlus &amp; Sunlight'!H7</f>
        <v>TMS4802001008GX</v>
      </c>
      <c r="B7">
        <f>'[1]MultiPlus &amp; Sunlight'!I7</f>
        <v>4781.46</v>
      </c>
      <c r="C7">
        <f t="shared" si="0"/>
        <v>5976.8249999999998</v>
      </c>
      <c r="D7" s="2" t="s">
        <v>8</v>
      </c>
      <c r="E7" s="2" t="s">
        <v>9</v>
      </c>
      <c r="F7" s="2" t="s">
        <v>10</v>
      </c>
      <c r="G7" s="2" t="s">
        <v>22</v>
      </c>
      <c r="H7" s="2" t="s">
        <v>23</v>
      </c>
      <c r="I7" s="2" t="s">
        <v>22</v>
      </c>
      <c r="J7" s="2" t="s">
        <v>23</v>
      </c>
      <c r="K7" s="3" t="s">
        <v>13</v>
      </c>
    </row>
    <row r="8" spans="1:11" ht="15" customHeight="1" x14ac:dyDescent="0.25">
      <c r="A8" t="str">
        <f>'[1]MultiPlus &amp; Sunlight'!H8</f>
        <v>TMS4803001008GX</v>
      </c>
      <c r="B8">
        <f>'[1]MultiPlus &amp; Sunlight'!I8</f>
        <v>6036.58</v>
      </c>
      <c r="C8">
        <f t="shared" si="0"/>
        <v>7545.7250000000004</v>
      </c>
      <c r="D8" s="2" t="s">
        <v>8</v>
      </c>
      <c r="E8" s="2" t="s">
        <v>9</v>
      </c>
      <c r="F8" s="2" t="s">
        <v>10</v>
      </c>
      <c r="G8" s="2" t="s">
        <v>24</v>
      </c>
      <c r="H8" s="2" t="s">
        <v>25</v>
      </c>
      <c r="I8" s="2" t="s">
        <v>24</v>
      </c>
      <c r="J8" s="2" t="s">
        <v>25</v>
      </c>
      <c r="K8" s="3" t="s">
        <v>13</v>
      </c>
    </row>
    <row r="9" spans="1:11" ht="15" customHeight="1" x14ac:dyDescent="0.25">
      <c r="A9" t="str">
        <f>'[1]MultiPlus &amp; Sunlight'!H9</f>
        <v>TMS4803001010GX</v>
      </c>
      <c r="B9">
        <f>'[1]MultiPlus &amp; Sunlight'!I9</f>
        <v>6366.2800000000007</v>
      </c>
      <c r="C9">
        <f t="shared" si="0"/>
        <v>7957.85</v>
      </c>
      <c r="D9" s="2" t="s">
        <v>8</v>
      </c>
      <c r="E9" s="2" t="s">
        <v>9</v>
      </c>
      <c r="F9" s="2" t="s">
        <v>10</v>
      </c>
      <c r="G9" s="2" t="s">
        <v>26</v>
      </c>
      <c r="H9" s="2" t="s">
        <v>27</v>
      </c>
      <c r="I9" s="2" t="s">
        <v>26</v>
      </c>
      <c r="J9" s="2" t="s">
        <v>27</v>
      </c>
      <c r="K9" s="3" t="s">
        <v>13</v>
      </c>
    </row>
    <row r="10" spans="1:11" ht="15" customHeight="1" x14ac:dyDescent="0.25">
      <c r="A10" t="str">
        <f>'[1]MultiPlus &amp; Sunlight'!H10</f>
        <v>TMS4804001010GX</v>
      </c>
      <c r="B10">
        <f>'[1]MultiPlus &amp; Sunlight'!I10</f>
        <v>7821.4</v>
      </c>
      <c r="C10">
        <f t="shared" si="0"/>
        <v>9776.75</v>
      </c>
      <c r="D10" s="2" t="s">
        <v>8</v>
      </c>
      <c r="E10" s="2" t="s">
        <v>9</v>
      </c>
      <c r="F10" s="2" t="s">
        <v>10</v>
      </c>
      <c r="G10" s="2" t="s">
        <v>28</v>
      </c>
      <c r="H10" s="2" t="s">
        <v>29</v>
      </c>
      <c r="I10" s="2" t="s">
        <v>28</v>
      </c>
      <c r="J10" s="2" t="s">
        <v>29</v>
      </c>
      <c r="K10" s="3" t="s">
        <v>13</v>
      </c>
    </row>
    <row r="11" spans="1:11" ht="15" customHeight="1" x14ac:dyDescent="0.25">
      <c r="A11" t="str">
        <f>'[1]MultiPlus &amp; Sunlight'!H11</f>
        <v>TMS4804001015GX</v>
      </c>
      <c r="B11">
        <f>'[1]MultiPlus &amp; Sunlight'!I11</f>
        <v>8524.42</v>
      </c>
      <c r="C11">
        <f t="shared" si="0"/>
        <v>10655.525</v>
      </c>
      <c r="D11" s="2" t="s">
        <v>8</v>
      </c>
      <c r="E11" s="2" t="s">
        <v>9</v>
      </c>
      <c r="F11" s="2" t="s">
        <v>10</v>
      </c>
      <c r="G11" s="2" t="s">
        <v>30</v>
      </c>
      <c r="H11" s="2" t="s">
        <v>31</v>
      </c>
      <c r="I11" s="2" t="s">
        <v>30</v>
      </c>
      <c r="J11" s="2" t="s">
        <v>31</v>
      </c>
      <c r="K11" s="3" t="s">
        <v>13</v>
      </c>
    </row>
    <row r="12" spans="1:11" ht="15" customHeight="1" x14ac:dyDescent="0.25">
      <c r="A12" t="str">
        <f>'[1]MultiPlus &amp; Sunlight'!H12</f>
        <v>TMS4805001015GX</v>
      </c>
      <c r="B12">
        <f>'[1]MultiPlus &amp; Sunlight'!I12</f>
        <v>9784.5399999999991</v>
      </c>
      <c r="C12">
        <f t="shared" si="0"/>
        <v>12230.674999999999</v>
      </c>
      <c r="D12" s="2" t="s">
        <v>8</v>
      </c>
      <c r="E12" s="2" t="s">
        <v>9</v>
      </c>
      <c r="F12" s="2" t="s">
        <v>10</v>
      </c>
      <c r="G12" s="2" t="s">
        <v>32</v>
      </c>
      <c r="H12" s="2" t="s">
        <v>33</v>
      </c>
      <c r="I12" s="2" t="s">
        <v>32</v>
      </c>
      <c r="J12" s="2" t="s">
        <v>33</v>
      </c>
      <c r="K12" s="3" t="s">
        <v>13</v>
      </c>
    </row>
    <row r="13" spans="1:11" ht="15" customHeight="1" x14ac:dyDescent="0.25">
      <c r="A13" t="str">
        <f>'[1]MultiPlus &amp; Sunlight'!H13</f>
        <v>TMS4806001015GX</v>
      </c>
      <c r="B13">
        <f>'[1]MultiPlus &amp; Sunlight'!I13</f>
        <v>11039.66</v>
      </c>
      <c r="C13">
        <f t="shared" si="0"/>
        <v>13799.575000000001</v>
      </c>
      <c r="D13" s="2" t="s">
        <v>8</v>
      </c>
      <c r="E13" s="2" t="s">
        <v>9</v>
      </c>
      <c r="F13" s="2" t="s">
        <v>10</v>
      </c>
      <c r="G13" s="2" t="s">
        <v>34</v>
      </c>
      <c r="H13" s="2" t="s">
        <v>35</v>
      </c>
      <c r="I13" s="2" t="s">
        <v>34</v>
      </c>
      <c r="J13" s="2" t="s">
        <v>35</v>
      </c>
      <c r="K13" s="3" t="s">
        <v>13</v>
      </c>
    </row>
    <row r="14" spans="1:11" ht="15" customHeight="1" x14ac:dyDescent="0.25">
      <c r="A14" t="str">
        <f>'[1]MultiPlus &amp; Sunlight'!H14</f>
        <v>TMS4802003009GX</v>
      </c>
      <c r="B14">
        <f>'[1]MultiPlus &amp; Sunlight'!I14</f>
        <v>5483.5999999999995</v>
      </c>
      <c r="C14">
        <f t="shared" si="0"/>
        <v>6854.4999999999991</v>
      </c>
      <c r="D14" s="2" t="s">
        <v>8</v>
      </c>
      <c r="E14" s="2" t="s">
        <v>9</v>
      </c>
      <c r="F14" s="2" t="s">
        <v>10</v>
      </c>
      <c r="G14" s="2" t="s">
        <v>36</v>
      </c>
      <c r="H14" s="2" t="s">
        <v>37</v>
      </c>
      <c r="I14" s="2" t="s">
        <v>36</v>
      </c>
      <c r="J14" s="2" t="s">
        <v>37</v>
      </c>
      <c r="K14" s="3" t="s">
        <v>13</v>
      </c>
    </row>
    <row r="15" spans="1:11" ht="15" customHeight="1" x14ac:dyDescent="0.25">
      <c r="A15" t="str">
        <f>'[1]MultiPlus &amp; Sunlight'!H15</f>
        <v>TMS4803003009GX</v>
      </c>
      <c r="B15">
        <f>'[1]MultiPlus &amp; Sunlight'!I15</f>
        <v>6738.7199999999993</v>
      </c>
      <c r="C15">
        <f t="shared" si="0"/>
        <v>8423.4</v>
      </c>
      <c r="D15" s="2" t="s">
        <v>8</v>
      </c>
      <c r="E15" s="2" t="s">
        <v>9</v>
      </c>
      <c r="F15" s="2" t="s">
        <v>10</v>
      </c>
      <c r="G15" s="2" t="s">
        <v>38</v>
      </c>
      <c r="H15" s="2" t="s">
        <v>39</v>
      </c>
      <c r="I15" s="2" t="s">
        <v>38</v>
      </c>
      <c r="J15" s="2" t="s">
        <v>39</v>
      </c>
      <c r="K15" s="3" t="s">
        <v>13</v>
      </c>
    </row>
    <row r="16" spans="1:11" ht="15" customHeight="1" x14ac:dyDescent="0.25">
      <c r="A16" t="str">
        <f>'[1]MultiPlus &amp; Sunlight'!H16</f>
        <v>TMS4804003009GX</v>
      </c>
      <c r="B16">
        <f>'[1]MultiPlus &amp; Sunlight'!I16</f>
        <v>8013.84</v>
      </c>
      <c r="C16">
        <f t="shared" si="0"/>
        <v>10017.299999999999</v>
      </c>
      <c r="D16" s="2" t="s">
        <v>8</v>
      </c>
      <c r="E16" s="2" t="s">
        <v>9</v>
      </c>
      <c r="F16" s="2" t="s">
        <v>10</v>
      </c>
      <c r="G16" s="2" t="s">
        <v>40</v>
      </c>
      <c r="H16" s="2" t="s">
        <v>41</v>
      </c>
      <c r="I16" s="2" t="s">
        <v>40</v>
      </c>
      <c r="J16" s="2" t="s">
        <v>41</v>
      </c>
      <c r="K16" s="3" t="s">
        <v>13</v>
      </c>
    </row>
    <row r="17" spans="1:11" ht="15" customHeight="1" x14ac:dyDescent="0.25">
      <c r="A17" t="str">
        <f>'[1]MultiPlus &amp; Sunlight'!H17</f>
        <v>TMS4803003015GX</v>
      </c>
      <c r="B17">
        <f>'[1]MultiPlus &amp; Sunlight'!I17</f>
        <v>7454.2199999999993</v>
      </c>
      <c r="C17">
        <f t="shared" si="0"/>
        <v>9317.7749999999996</v>
      </c>
      <c r="D17" s="2" t="s">
        <v>8</v>
      </c>
      <c r="E17" s="2" t="s">
        <v>9</v>
      </c>
      <c r="F17" s="2" t="s">
        <v>10</v>
      </c>
      <c r="G17" s="2" t="s">
        <v>42</v>
      </c>
      <c r="H17" s="2" t="s">
        <v>43</v>
      </c>
      <c r="I17" s="2" t="s">
        <v>42</v>
      </c>
      <c r="J17" s="2" t="s">
        <v>43</v>
      </c>
      <c r="K17" s="3" t="s">
        <v>13</v>
      </c>
    </row>
    <row r="18" spans="1:11" ht="15" customHeight="1" x14ac:dyDescent="0.25">
      <c r="A18" t="str">
        <f>'[1]MultiPlus &amp; Sunlight'!H18</f>
        <v>TMS4804003015GX</v>
      </c>
      <c r="B18">
        <f>'[1]MultiPlus &amp; Sunlight'!I18</f>
        <v>8729.34</v>
      </c>
      <c r="C18">
        <f t="shared" si="0"/>
        <v>10911.674999999999</v>
      </c>
      <c r="D18" s="2" t="s">
        <v>8</v>
      </c>
      <c r="E18" s="2" t="s">
        <v>9</v>
      </c>
      <c r="F18" s="2" t="s">
        <v>10</v>
      </c>
      <c r="G18" s="2" t="s">
        <v>44</v>
      </c>
      <c r="H18" s="2" t="s">
        <v>45</v>
      </c>
      <c r="I18" s="2" t="s">
        <v>44</v>
      </c>
      <c r="J18" s="2" t="s">
        <v>45</v>
      </c>
      <c r="K18" s="3" t="s">
        <v>13</v>
      </c>
    </row>
    <row r="19" spans="1:11" ht="15" customHeight="1" x14ac:dyDescent="0.25">
      <c r="A19" t="str">
        <f>'[1]MultiPlus &amp; Sunlight'!H19</f>
        <v>TMS4805003015GX</v>
      </c>
      <c r="B19">
        <f>'[1]MultiPlus &amp; Sunlight'!I19</f>
        <v>9989.4599999999991</v>
      </c>
      <c r="C19">
        <f t="shared" si="0"/>
        <v>12486.824999999999</v>
      </c>
      <c r="D19" s="2" t="s">
        <v>8</v>
      </c>
      <c r="E19" s="2" t="s">
        <v>9</v>
      </c>
      <c r="F19" s="2" t="s">
        <v>10</v>
      </c>
      <c r="G19" s="2" t="s">
        <v>46</v>
      </c>
      <c r="H19" s="2" t="s">
        <v>47</v>
      </c>
      <c r="I19" s="2" t="s">
        <v>46</v>
      </c>
      <c r="J19" s="2" t="s">
        <v>47</v>
      </c>
      <c r="K19" s="3" t="s">
        <v>13</v>
      </c>
    </row>
    <row r="20" spans="1:11" ht="15" customHeight="1" x14ac:dyDescent="0.25">
      <c r="A20" t="str">
        <f>'[1]MultiPlus &amp; Sunlight'!H20</f>
        <v>TMS4805003024GX</v>
      </c>
      <c r="B20">
        <f>'[1]MultiPlus &amp; Sunlight'!I20</f>
        <v>12098.259999999998</v>
      </c>
      <c r="C20">
        <f t="shared" si="0"/>
        <v>15122.824999999997</v>
      </c>
      <c r="D20" s="2" t="s">
        <v>8</v>
      </c>
      <c r="E20" s="2" t="s">
        <v>9</v>
      </c>
      <c r="F20" s="2" t="s">
        <v>10</v>
      </c>
      <c r="G20" s="2" t="s">
        <v>48</v>
      </c>
      <c r="H20" s="2" t="s">
        <v>49</v>
      </c>
      <c r="I20" s="2" t="s">
        <v>48</v>
      </c>
      <c r="J20" s="2" t="s">
        <v>49</v>
      </c>
      <c r="K20" s="3" t="s">
        <v>13</v>
      </c>
    </row>
    <row r="21" spans="1:11" ht="15" customHeight="1" x14ac:dyDescent="0.25">
      <c r="A21" t="str">
        <f>'[1]MultiPlus &amp; Sunlight'!H21</f>
        <v>TMS4806003024GX</v>
      </c>
      <c r="B21">
        <f>'[1]MultiPlus &amp; Sunlight'!I21</f>
        <v>13533.38</v>
      </c>
      <c r="C21">
        <f t="shared" si="0"/>
        <v>16916.724999999999</v>
      </c>
      <c r="D21" s="2" t="s">
        <v>8</v>
      </c>
      <c r="E21" s="2" t="s">
        <v>9</v>
      </c>
      <c r="F21" s="2" t="s">
        <v>10</v>
      </c>
      <c r="G21" s="2" t="s">
        <v>50</v>
      </c>
      <c r="H21" s="2" t="s">
        <v>51</v>
      </c>
      <c r="I21" s="2" t="s">
        <v>50</v>
      </c>
      <c r="J21" s="2" t="s">
        <v>51</v>
      </c>
      <c r="K21" s="3" t="s">
        <v>13</v>
      </c>
    </row>
    <row r="22" spans="1:11" ht="15" customHeight="1" x14ac:dyDescent="0.25">
      <c r="A22" t="str">
        <f>'[1]MultiPlus &amp; Sunlight'!H22</f>
        <v>TMS4808003024GX</v>
      </c>
      <c r="B22">
        <f>'[1]MultiPlus &amp; Sunlight'!I22</f>
        <v>16158.619999999999</v>
      </c>
      <c r="C22">
        <f t="shared" si="0"/>
        <v>20198.274999999998</v>
      </c>
      <c r="D22" s="2" t="s">
        <v>8</v>
      </c>
      <c r="E22" s="2" t="s">
        <v>9</v>
      </c>
      <c r="F22" s="2" t="s">
        <v>10</v>
      </c>
      <c r="G22" s="2" t="s">
        <v>52</v>
      </c>
      <c r="H22" s="2" t="s">
        <v>53</v>
      </c>
      <c r="I22" s="2" t="s">
        <v>52</v>
      </c>
      <c r="J22" s="2" t="s">
        <v>53</v>
      </c>
      <c r="K22" s="3" t="s">
        <v>13</v>
      </c>
    </row>
    <row r="23" spans="1:11" ht="15" customHeight="1" x14ac:dyDescent="0.25">
      <c r="A23" t="str">
        <f>'[1]MultiPlus &amp; Sunlight'!H23</f>
        <v>TMS4810003024GX</v>
      </c>
      <c r="B23">
        <f>'[1]MultiPlus &amp; Sunlight'!I23</f>
        <v>18678.86</v>
      </c>
      <c r="C23">
        <f t="shared" si="0"/>
        <v>23348.575000000001</v>
      </c>
      <c r="D23" s="2" t="s">
        <v>8</v>
      </c>
      <c r="E23" s="2" t="s">
        <v>9</v>
      </c>
      <c r="F23" s="2" t="s">
        <v>10</v>
      </c>
      <c r="G23" s="2" t="s">
        <v>54</v>
      </c>
      <c r="H23" s="2" t="s">
        <v>55</v>
      </c>
      <c r="I23" s="2" t="s">
        <v>54</v>
      </c>
      <c r="J23" s="2" t="s">
        <v>55</v>
      </c>
      <c r="K23" s="3" t="s">
        <v>13</v>
      </c>
    </row>
    <row r="24" spans="1:11" ht="15" customHeight="1" x14ac:dyDescent="0.25">
      <c r="A24" t="str">
        <f>'[1]MultiPlus &amp; Sunlight'!H24</f>
        <v>TMS4808003030GX</v>
      </c>
      <c r="B24">
        <f>'[1]MultiPlus &amp; Sunlight'!I24</f>
        <v>17355.080000000002</v>
      </c>
      <c r="C24">
        <f t="shared" si="0"/>
        <v>21693.850000000002</v>
      </c>
      <c r="D24" s="2" t="s">
        <v>8</v>
      </c>
      <c r="E24" s="2" t="s">
        <v>9</v>
      </c>
      <c r="F24" s="2" t="s">
        <v>10</v>
      </c>
      <c r="G24" s="2" t="s">
        <v>56</v>
      </c>
      <c r="H24" s="2" t="s">
        <v>57</v>
      </c>
      <c r="I24" s="2" t="s">
        <v>56</v>
      </c>
      <c r="J24" s="2" t="s">
        <v>57</v>
      </c>
      <c r="K24" s="3" t="s">
        <v>13</v>
      </c>
    </row>
    <row r="25" spans="1:11" ht="15" customHeight="1" x14ac:dyDescent="0.25">
      <c r="A25" t="str">
        <f>'[1]MultiPlus &amp; Sunlight'!H25</f>
        <v>TMS4810003030GX</v>
      </c>
      <c r="B25">
        <f>'[1]MultiPlus &amp; Sunlight'!I25</f>
        <v>19875.32</v>
      </c>
      <c r="C25">
        <f t="shared" si="0"/>
        <v>24844.15</v>
      </c>
      <c r="D25" s="2" t="s">
        <v>8</v>
      </c>
      <c r="E25" s="2" t="s">
        <v>9</v>
      </c>
      <c r="F25" s="2" t="s">
        <v>10</v>
      </c>
      <c r="G25" s="2" t="s">
        <v>58</v>
      </c>
      <c r="H25" s="2" t="s">
        <v>59</v>
      </c>
      <c r="I25" s="2" t="s">
        <v>58</v>
      </c>
      <c r="J25" s="2" t="s">
        <v>59</v>
      </c>
      <c r="K25" s="3" t="s">
        <v>13</v>
      </c>
    </row>
    <row r="26" spans="1:11" ht="15" customHeight="1" x14ac:dyDescent="0.25">
      <c r="A26" t="str">
        <f>'[1]MultiPlus &amp; Sunlight'!H26</f>
        <v>TMS4812003030GX</v>
      </c>
      <c r="B26">
        <f>'[1]MultiPlus &amp; Sunlight'!I26</f>
        <v>22675.559999999998</v>
      </c>
      <c r="C26">
        <f t="shared" si="0"/>
        <v>28344.449999999997</v>
      </c>
      <c r="D26" s="2" t="s">
        <v>8</v>
      </c>
      <c r="E26" s="2" t="s">
        <v>9</v>
      </c>
      <c r="F26" s="2" t="s">
        <v>10</v>
      </c>
      <c r="G26" s="2" t="s">
        <v>60</v>
      </c>
      <c r="H26" s="2" t="s">
        <v>61</v>
      </c>
      <c r="I26" s="2" t="s">
        <v>60</v>
      </c>
      <c r="J26" s="2" t="s">
        <v>61</v>
      </c>
      <c r="K26" s="3" t="s">
        <v>13</v>
      </c>
    </row>
    <row r="27" spans="1:11" ht="15" customHeight="1" x14ac:dyDescent="0.25">
      <c r="A27" t="str">
        <f>'[1]MultiPlus &amp; Sunlight'!H27</f>
        <v>TMS4809003045GX</v>
      </c>
      <c r="B27">
        <f>'[1]MultiPlus &amp; Sunlight'!I27</f>
        <v>20701.899999999998</v>
      </c>
      <c r="C27">
        <f t="shared" si="0"/>
        <v>25877.374999999996</v>
      </c>
      <c r="D27" s="2" t="s">
        <v>8</v>
      </c>
      <c r="E27" s="2" t="s">
        <v>9</v>
      </c>
      <c r="F27" s="2" t="s">
        <v>10</v>
      </c>
      <c r="G27" s="2" t="s">
        <v>62</v>
      </c>
      <c r="H27" s="2" t="s">
        <v>63</v>
      </c>
      <c r="I27" s="2" t="s">
        <v>62</v>
      </c>
      <c r="J27" s="2" t="s">
        <v>63</v>
      </c>
      <c r="K27" s="3" t="s">
        <v>13</v>
      </c>
    </row>
    <row r="28" spans="1:11" ht="15" customHeight="1" x14ac:dyDescent="0.25">
      <c r="A28" t="str">
        <f>'[1]MultiPlus &amp; Sunlight'!H28</f>
        <v>TMS4812003045GX</v>
      </c>
      <c r="B28">
        <f>'[1]MultiPlus &amp; Sunlight'!I28</f>
        <v>24647.26</v>
      </c>
      <c r="C28">
        <f t="shared" si="0"/>
        <v>30809.074999999997</v>
      </c>
      <c r="D28" s="2" t="s">
        <v>8</v>
      </c>
      <c r="E28" s="2" t="s">
        <v>9</v>
      </c>
      <c r="F28" s="2" t="s">
        <v>10</v>
      </c>
      <c r="G28" s="2" t="s">
        <v>64</v>
      </c>
      <c r="H28" s="2" t="s">
        <v>65</v>
      </c>
      <c r="I28" s="2" t="s">
        <v>64</v>
      </c>
      <c r="J28" s="2" t="s">
        <v>65</v>
      </c>
      <c r="K28" s="3" t="s">
        <v>13</v>
      </c>
    </row>
    <row r="29" spans="1:11" ht="15" customHeight="1" x14ac:dyDescent="0.25">
      <c r="A29" t="str">
        <f>'[1]MultiPlus &amp; Sunlight'!H29</f>
        <v>TMS4815003045GX</v>
      </c>
      <c r="B29">
        <f>'[1]MultiPlus &amp; Sunlight'!I29</f>
        <v>28717.619999999995</v>
      </c>
      <c r="C29">
        <f t="shared" si="0"/>
        <v>35897.024999999994</v>
      </c>
      <c r="D29" s="2" t="s">
        <v>8</v>
      </c>
      <c r="E29" s="2" t="s">
        <v>9</v>
      </c>
      <c r="F29" s="2" t="s">
        <v>10</v>
      </c>
      <c r="G29" s="2" t="s">
        <v>66</v>
      </c>
      <c r="H29" s="2" t="s">
        <v>67</v>
      </c>
      <c r="I29" s="2" t="s">
        <v>66</v>
      </c>
      <c r="J29" s="2" t="s">
        <v>67</v>
      </c>
      <c r="K29" s="3" t="s">
        <v>13</v>
      </c>
    </row>
    <row r="30" spans="1:11" ht="15" customHeight="1" x14ac:dyDescent="0.25">
      <c r="A30" t="str">
        <f>'[1]Quattro &amp; Sunlight'!H3</f>
        <v>TQS4802001005GX</v>
      </c>
      <c r="B30">
        <f>'[1]Quattro &amp; Sunlight'!I3</f>
        <v>4498.8599999999997</v>
      </c>
      <c r="C30">
        <f t="shared" si="0"/>
        <v>5623.5749999999998</v>
      </c>
      <c r="D30" s="2" t="s">
        <v>8</v>
      </c>
      <c r="E30" s="2" t="s">
        <v>9</v>
      </c>
      <c r="F30" s="2" t="s">
        <v>10</v>
      </c>
      <c r="G30" s="2" t="s">
        <v>68</v>
      </c>
      <c r="H30" s="2" t="s">
        <v>69</v>
      </c>
      <c r="I30" s="2" t="s">
        <v>68</v>
      </c>
      <c r="J30" s="2" t="s">
        <v>69</v>
      </c>
      <c r="K30" s="3" t="s">
        <v>13</v>
      </c>
    </row>
    <row r="31" spans="1:11" ht="15" customHeight="1" x14ac:dyDescent="0.25">
      <c r="A31" t="str">
        <f>'[1]Quattro &amp; Sunlight'!H4</f>
        <v>TQS4803001005GX</v>
      </c>
      <c r="B31">
        <f>'[1]Quattro &amp; Sunlight'!I4</f>
        <v>5753.98</v>
      </c>
      <c r="C31">
        <f t="shared" si="0"/>
        <v>7192.4749999999995</v>
      </c>
      <c r="D31" s="2" t="s">
        <v>8</v>
      </c>
      <c r="E31" s="2" t="s">
        <v>9</v>
      </c>
      <c r="F31" s="2" t="s">
        <v>10</v>
      </c>
      <c r="G31" s="2" t="s">
        <v>70</v>
      </c>
      <c r="H31" s="2" t="s">
        <v>71</v>
      </c>
      <c r="I31" s="2" t="s">
        <v>70</v>
      </c>
      <c r="J31" s="2" t="s">
        <v>71</v>
      </c>
      <c r="K31" s="3" t="s">
        <v>13</v>
      </c>
    </row>
    <row r="32" spans="1:11" ht="15" customHeight="1" x14ac:dyDescent="0.25">
      <c r="A32" t="str">
        <f>'[1]Quattro &amp; Sunlight'!H5</f>
        <v>TQS4802001008GX</v>
      </c>
      <c r="B32">
        <f>'[1]Quattro &amp; Sunlight'!I5</f>
        <v>5327.5599999999995</v>
      </c>
      <c r="C32">
        <f t="shared" si="0"/>
        <v>6659.4499999999989</v>
      </c>
      <c r="D32" s="2" t="s">
        <v>8</v>
      </c>
      <c r="E32" s="2" t="s">
        <v>9</v>
      </c>
      <c r="F32" s="2" t="s">
        <v>10</v>
      </c>
      <c r="G32" s="2" t="s">
        <v>72</v>
      </c>
      <c r="H32" s="2" t="s">
        <v>73</v>
      </c>
      <c r="I32" s="2" t="s">
        <v>72</v>
      </c>
      <c r="J32" s="2" t="s">
        <v>73</v>
      </c>
      <c r="K32" s="3" t="s">
        <v>13</v>
      </c>
    </row>
    <row r="33" spans="1:11" ht="15" customHeight="1" x14ac:dyDescent="0.25">
      <c r="A33" t="str">
        <f>'[1]Quattro &amp; Sunlight'!H6</f>
        <v>TQS4803001008GX</v>
      </c>
      <c r="B33">
        <f>'[1]Quattro &amp; Sunlight'!I6</f>
        <v>6582.68</v>
      </c>
      <c r="C33">
        <f t="shared" si="0"/>
        <v>8228.35</v>
      </c>
      <c r="D33" s="2" t="s">
        <v>8</v>
      </c>
      <c r="E33" s="2" t="s">
        <v>9</v>
      </c>
      <c r="F33" s="2" t="s">
        <v>10</v>
      </c>
      <c r="G33" s="2" t="s">
        <v>74</v>
      </c>
      <c r="H33" s="2" t="s">
        <v>75</v>
      </c>
      <c r="I33" s="2" t="s">
        <v>74</v>
      </c>
      <c r="J33" s="2" t="s">
        <v>75</v>
      </c>
      <c r="K33" s="3" t="s">
        <v>13</v>
      </c>
    </row>
    <row r="34" spans="1:11" ht="15" customHeight="1" x14ac:dyDescent="0.25">
      <c r="A34" t="str">
        <f>'[1]Quattro &amp; Sunlight'!H7</f>
        <v>TQS4803001010GX</v>
      </c>
      <c r="B34">
        <f>'[1]Quattro &amp; Sunlight'!I7</f>
        <v>7014.98</v>
      </c>
      <c r="C34">
        <f t="shared" si="0"/>
        <v>8768.7249999999985</v>
      </c>
      <c r="D34" s="2" t="s">
        <v>8</v>
      </c>
      <c r="E34" s="2" t="s">
        <v>9</v>
      </c>
      <c r="F34" s="2" t="s">
        <v>10</v>
      </c>
      <c r="G34" s="2" t="s">
        <v>76</v>
      </c>
      <c r="H34" s="2" t="s">
        <v>77</v>
      </c>
      <c r="I34" s="2" t="s">
        <v>76</v>
      </c>
      <c r="J34" s="2" t="s">
        <v>77</v>
      </c>
      <c r="K34" s="3" t="s">
        <v>13</v>
      </c>
    </row>
    <row r="35" spans="1:11" ht="15" customHeight="1" x14ac:dyDescent="0.25">
      <c r="A35" t="str">
        <f>'[1]Quattro &amp; Sunlight'!H8</f>
        <v>TQS4804001010GX</v>
      </c>
      <c r="B35">
        <f>'[1]Quattro &amp; Sunlight'!I8</f>
        <v>8470.1</v>
      </c>
      <c r="C35">
        <f t="shared" si="0"/>
        <v>10587.625</v>
      </c>
      <c r="D35" s="2" t="s">
        <v>8</v>
      </c>
      <c r="E35" s="2" t="s">
        <v>9</v>
      </c>
      <c r="F35" s="2" t="s">
        <v>10</v>
      </c>
      <c r="G35" s="2" t="s">
        <v>78</v>
      </c>
      <c r="H35" s="2" t="s">
        <v>79</v>
      </c>
      <c r="I35" s="2" t="s">
        <v>78</v>
      </c>
      <c r="J35" s="2" t="s">
        <v>79</v>
      </c>
      <c r="K35" s="3" t="s">
        <v>13</v>
      </c>
    </row>
    <row r="36" spans="1:11" ht="15" customHeight="1" x14ac:dyDescent="0.25">
      <c r="A36" t="str">
        <f>'[1]Quattro &amp; Sunlight'!H9</f>
        <v>TQS4805001010GX</v>
      </c>
      <c r="B36">
        <f>'[1]Quattro &amp; Sunlight'!I9</f>
        <v>9730.2199999999993</v>
      </c>
      <c r="C36">
        <f t="shared" si="0"/>
        <v>12162.775</v>
      </c>
      <c r="D36" s="2" t="s">
        <v>8</v>
      </c>
      <c r="E36" s="2" t="s">
        <v>9</v>
      </c>
      <c r="F36" s="2" t="s">
        <v>10</v>
      </c>
      <c r="G36" s="2" t="s">
        <v>80</v>
      </c>
      <c r="H36" s="2" t="s">
        <v>81</v>
      </c>
      <c r="I36" s="2" t="s">
        <v>80</v>
      </c>
      <c r="J36" s="2" t="s">
        <v>81</v>
      </c>
      <c r="K36" s="3" t="s">
        <v>13</v>
      </c>
    </row>
    <row r="37" spans="1:11" ht="15" customHeight="1" x14ac:dyDescent="0.25">
      <c r="A37" t="str">
        <f>'[1]Quattro &amp; Sunlight'!H10</f>
        <v>TQS4804001015GX</v>
      </c>
      <c r="B37">
        <f>'[1]Quattro &amp; Sunlight'!I10</f>
        <v>9225.32</v>
      </c>
      <c r="C37">
        <f t="shared" si="0"/>
        <v>11531.65</v>
      </c>
      <c r="D37" s="2" t="s">
        <v>8</v>
      </c>
      <c r="E37" s="2" t="s">
        <v>9</v>
      </c>
      <c r="F37" s="2" t="s">
        <v>10</v>
      </c>
      <c r="G37" s="2" t="s">
        <v>82</v>
      </c>
      <c r="H37" s="2" t="s">
        <v>83</v>
      </c>
      <c r="I37" s="2" t="s">
        <v>82</v>
      </c>
      <c r="J37" s="2" t="s">
        <v>83</v>
      </c>
      <c r="K37" s="3" t="s">
        <v>13</v>
      </c>
    </row>
    <row r="38" spans="1:11" ht="15" customHeight="1" x14ac:dyDescent="0.25">
      <c r="A38" t="str">
        <f>'[1]Quattro &amp; Sunlight'!H11</f>
        <v>TQS4805001015GX</v>
      </c>
      <c r="B38">
        <f>'[1]Quattro &amp; Sunlight'!I11</f>
        <v>10485.439999999999</v>
      </c>
      <c r="C38">
        <f t="shared" si="0"/>
        <v>13106.8</v>
      </c>
      <c r="D38" s="2" t="s">
        <v>8</v>
      </c>
      <c r="E38" s="2" t="s">
        <v>9</v>
      </c>
      <c r="F38" s="2" t="s">
        <v>10</v>
      </c>
      <c r="G38" s="2" t="s">
        <v>84</v>
      </c>
      <c r="H38" s="2" t="s">
        <v>85</v>
      </c>
      <c r="I38" s="2" t="s">
        <v>84</v>
      </c>
      <c r="J38" s="2" t="s">
        <v>85</v>
      </c>
      <c r="K38" s="3" t="s">
        <v>13</v>
      </c>
    </row>
    <row r="39" spans="1:11" ht="15" customHeight="1" x14ac:dyDescent="0.25">
      <c r="A39" t="str">
        <f>'[1]Quattro &amp; Sunlight'!H12</f>
        <v>TQS4806001015GX</v>
      </c>
      <c r="B39">
        <f>'[1]Quattro &amp; Sunlight'!I12</f>
        <v>11740.56</v>
      </c>
      <c r="C39">
        <f t="shared" si="0"/>
        <v>14675.699999999999</v>
      </c>
      <c r="D39" s="2" t="s">
        <v>8</v>
      </c>
      <c r="E39" s="2" t="s">
        <v>9</v>
      </c>
      <c r="F39" s="2" t="s">
        <v>10</v>
      </c>
      <c r="G39" s="2" t="s">
        <v>86</v>
      </c>
      <c r="H39" s="2" t="s">
        <v>87</v>
      </c>
      <c r="I39" s="2" t="s">
        <v>86</v>
      </c>
      <c r="J39" s="2" t="s">
        <v>87</v>
      </c>
      <c r="K39" s="3" t="s">
        <v>13</v>
      </c>
    </row>
    <row r="40" spans="1:11" ht="15" customHeight="1" x14ac:dyDescent="0.25">
      <c r="A40" t="str">
        <f>'[1]Quattro &amp; Sunlight'!H13</f>
        <v>TQS4803003015GX</v>
      </c>
      <c r="B40">
        <f>'[1]Quattro &amp; Sunlight'!I13</f>
        <v>8615.2199999999975</v>
      </c>
      <c r="C40">
        <f t="shared" si="0"/>
        <v>10769.024999999998</v>
      </c>
      <c r="D40" s="2" t="s">
        <v>8</v>
      </c>
      <c r="E40" s="2" t="s">
        <v>9</v>
      </c>
      <c r="F40" s="2" t="s">
        <v>10</v>
      </c>
      <c r="G40" s="2" t="s">
        <v>88</v>
      </c>
      <c r="H40" s="2" t="s">
        <v>89</v>
      </c>
      <c r="I40" s="2" t="s">
        <v>88</v>
      </c>
      <c r="J40" s="2" t="s">
        <v>89</v>
      </c>
      <c r="K40" s="3" t="s">
        <v>13</v>
      </c>
    </row>
    <row r="41" spans="1:11" ht="15" customHeight="1" x14ac:dyDescent="0.25">
      <c r="A41" t="str">
        <f>'[1]Quattro &amp; Sunlight'!H14</f>
        <v>TQS4804003015GX</v>
      </c>
      <c r="B41">
        <f>'[1]Quattro &amp; Sunlight'!I14</f>
        <v>9890.3399999999983</v>
      </c>
      <c r="C41">
        <f t="shared" si="0"/>
        <v>12362.924999999997</v>
      </c>
      <c r="D41" s="2" t="s">
        <v>8</v>
      </c>
      <c r="E41" s="2" t="s">
        <v>9</v>
      </c>
      <c r="F41" s="2" t="s">
        <v>10</v>
      </c>
      <c r="G41" s="2" t="s">
        <v>90</v>
      </c>
      <c r="H41" s="2" t="s">
        <v>91</v>
      </c>
      <c r="I41" s="2" t="s">
        <v>90</v>
      </c>
      <c r="J41" s="2" t="s">
        <v>91</v>
      </c>
      <c r="K41" s="3" t="s">
        <v>13</v>
      </c>
    </row>
    <row r="42" spans="1:11" ht="15" customHeight="1" x14ac:dyDescent="0.25">
      <c r="A42" t="str">
        <f>'[1]Quattro &amp; Sunlight'!H15</f>
        <v>TQS4805003015GX</v>
      </c>
      <c r="B42">
        <f>'[1]Quattro &amp; Sunlight'!I15</f>
        <v>11150.46</v>
      </c>
      <c r="C42">
        <f t="shared" si="0"/>
        <v>13938.074999999999</v>
      </c>
      <c r="D42" s="2" t="s">
        <v>8</v>
      </c>
      <c r="E42" s="2" t="s">
        <v>9</v>
      </c>
      <c r="F42" s="2" t="s">
        <v>10</v>
      </c>
      <c r="G42" s="2" t="s">
        <v>92</v>
      </c>
      <c r="H42" s="2" t="s">
        <v>93</v>
      </c>
      <c r="I42" s="2" t="s">
        <v>92</v>
      </c>
      <c r="J42" s="2" t="s">
        <v>93</v>
      </c>
      <c r="K42" s="3" t="s">
        <v>13</v>
      </c>
    </row>
    <row r="43" spans="1:11" ht="15" customHeight="1" x14ac:dyDescent="0.25">
      <c r="A43" t="str">
        <f>'[1]Quattro &amp; Sunlight'!H16</f>
        <v>TQS4805003024GX</v>
      </c>
      <c r="B43">
        <f>'[1]Quattro &amp; Sunlight'!I16</f>
        <v>13661.560000000001</v>
      </c>
      <c r="C43">
        <f t="shared" si="0"/>
        <v>17076.95</v>
      </c>
      <c r="D43" s="2" t="s">
        <v>8</v>
      </c>
      <c r="E43" s="2" t="s">
        <v>9</v>
      </c>
      <c r="F43" s="2" t="s">
        <v>10</v>
      </c>
      <c r="G43" s="2" t="s">
        <v>94</v>
      </c>
      <c r="H43" s="2" t="s">
        <v>95</v>
      </c>
      <c r="I43" s="2" t="s">
        <v>94</v>
      </c>
      <c r="J43" s="2" t="s">
        <v>95</v>
      </c>
      <c r="K43" s="3" t="s">
        <v>13</v>
      </c>
    </row>
    <row r="44" spans="1:11" ht="15" customHeight="1" x14ac:dyDescent="0.25">
      <c r="A44" t="str">
        <f>'[1]Quattro &amp; Sunlight'!H17</f>
        <v>TQS4806003024GX</v>
      </c>
      <c r="B44">
        <f>'[1]Quattro &amp; Sunlight'!I17</f>
        <v>15096.68</v>
      </c>
      <c r="C44">
        <f t="shared" si="0"/>
        <v>18870.849999999999</v>
      </c>
      <c r="D44" s="2" t="s">
        <v>8</v>
      </c>
      <c r="E44" s="2" t="s">
        <v>9</v>
      </c>
      <c r="F44" s="2" t="s">
        <v>10</v>
      </c>
      <c r="G44" s="2" t="s">
        <v>96</v>
      </c>
      <c r="H44" s="2" t="s">
        <v>97</v>
      </c>
      <c r="I44" s="2" t="s">
        <v>96</v>
      </c>
      <c r="J44" s="2" t="s">
        <v>97</v>
      </c>
      <c r="K44" s="3" t="s">
        <v>13</v>
      </c>
    </row>
    <row r="45" spans="1:11" ht="15" customHeight="1" x14ac:dyDescent="0.25">
      <c r="A45" t="str">
        <f>'[1]Quattro &amp; Sunlight'!H18</f>
        <v>TQS4808003024GX</v>
      </c>
      <c r="B45">
        <f>'[1]Quattro &amp; Sunlight'!I18</f>
        <v>17721.919999999998</v>
      </c>
      <c r="C45">
        <f t="shared" si="0"/>
        <v>22152.399999999998</v>
      </c>
      <c r="D45" s="2" t="s">
        <v>8</v>
      </c>
      <c r="E45" s="2" t="s">
        <v>9</v>
      </c>
      <c r="F45" s="2" t="s">
        <v>10</v>
      </c>
      <c r="G45" s="2" t="s">
        <v>98</v>
      </c>
      <c r="H45" s="2" t="s">
        <v>99</v>
      </c>
      <c r="I45" s="2" t="s">
        <v>98</v>
      </c>
      <c r="J45" s="2" t="s">
        <v>99</v>
      </c>
      <c r="K45" s="3" t="s">
        <v>13</v>
      </c>
    </row>
    <row r="46" spans="1:11" ht="15" customHeight="1" x14ac:dyDescent="0.25">
      <c r="A46" t="str">
        <f>'[1]Quattro &amp; Sunlight'!H19</f>
        <v>TQS4808003030GX</v>
      </c>
      <c r="B46">
        <f>'[1]Quattro &amp; Sunlight'!I19</f>
        <v>19226.18</v>
      </c>
      <c r="C46">
        <f t="shared" si="0"/>
        <v>24032.724999999999</v>
      </c>
      <c r="D46" s="2" t="s">
        <v>8</v>
      </c>
      <c r="E46" s="2" t="s">
        <v>9</v>
      </c>
      <c r="F46" s="2" t="s">
        <v>10</v>
      </c>
      <c r="G46" s="2" t="s">
        <v>100</v>
      </c>
      <c r="H46" s="2" t="s">
        <v>101</v>
      </c>
      <c r="I46" s="2" t="s">
        <v>100</v>
      </c>
      <c r="J46" s="2" t="s">
        <v>101</v>
      </c>
      <c r="K46" s="3" t="s">
        <v>13</v>
      </c>
    </row>
    <row r="47" spans="1:11" ht="15" customHeight="1" x14ac:dyDescent="0.25">
      <c r="A47" t="str">
        <f>'[1]Quattro &amp; Sunlight'!H20</f>
        <v>TQS4810003030GX</v>
      </c>
      <c r="B47">
        <f>'[1]Quattro &amp; Sunlight'!I20</f>
        <v>21746.42</v>
      </c>
      <c r="C47">
        <f t="shared" si="0"/>
        <v>27183.024999999998</v>
      </c>
      <c r="D47" s="2" t="s">
        <v>8</v>
      </c>
      <c r="E47" s="2" t="s">
        <v>9</v>
      </c>
      <c r="F47" s="2" t="s">
        <v>10</v>
      </c>
      <c r="G47" s="2" t="s">
        <v>102</v>
      </c>
      <c r="H47" s="2" t="s">
        <v>103</v>
      </c>
      <c r="I47" s="2" t="s">
        <v>102</v>
      </c>
      <c r="J47" s="2" t="s">
        <v>103</v>
      </c>
      <c r="K47" s="3" t="s">
        <v>13</v>
      </c>
    </row>
    <row r="48" spans="1:11" ht="15" customHeight="1" x14ac:dyDescent="0.25">
      <c r="A48" t="str">
        <f>'[1]Quattro &amp; Sunlight'!H21</f>
        <v>TQS4812003030GX</v>
      </c>
      <c r="B48">
        <f>'[1]Quattro &amp; Sunlight'!I21</f>
        <v>24436.659999999996</v>
      </c>
      <c r="C48">
        <f t="shared" si="0"/>
        <v>30545.824999999997</v>
      </c>
      <c r="D48" s="2" t="s">
        <v>8</v>
      </c>
      <c r="E48" s="2" t="s">
        <v>9</v>
      </c>
      <c r="F48" s="2" t="s">
        <v>10</v>
      </c>
      <c r="G48" s="2" t="s">
        <v>104</v>
      </c>
      <c r="H48" s="2" t="s">
        <v>105</v>
      </c>
      <c r="I48" s="2" t="s">
        <v>104</v>
      </c>
      <c r="J48" s="2" t="s">
        <v>105</v>
      </c>
      <c r="K48" s="3" t="s">
        <v>13</v>
      </c>
    </row>
    <row r="49" spans="1:11" ht="15" customHeight="1" x14ac:dyDescent="0.25">
      <c r="A49" t="str">
        <f>'[1]Quattro &amp; Sunlight'!H22</f>
        <v>TQS4812003045GX</v>
      </c>
      <c r="B49">
        <f>'[1]Quattro &amp; Sunlight'!I22</f>
        <v>26674.959999999999</v>
      </c>
      <c r="C49">
        <f t="shared" si="0"/>
        <v>33343.699999999997</v>
      </c>
      <c r="D49" s="2" t="s">
        <v>8</v>
      </c>
      <c r="E49" s="2" t="s">
        <v>9</v>
      </c>
      <c r="F49" s="2" t="s">
        <v>10</v>
      </c>
      <c r="G49" s="2" t="s">
        <v>106</v>
      </c>
      <c r="H49" s="2" t="s">
        <v>107</v>
      </c>
      <c r="I49" s="2" t="s">
        <v>106</v>
      </c>
      <c r="J49" s="2" t="s">
        <v>107</v>
      </c>
      <c r="K49" s="3" t="s">
        <v>13</v>
      </c>
    </row>
    <row r="50" spans="1:11" ht="15" customHeight="1" x14ac:dyDescent="0.25">
      <c r="A50" t="str">
        <f>'[1]Quattro &amp; Sunlight'!H23</f>
        <v>TQS4815003045GX</v>
      </c>
      <c r="B50">
        <f>'[1]Quattro &amp; Sunlight'!I23</f>
        <v>30745.32</v>
      </c>
      <c r="C50">
        <f t="shared" si="0"/>
        <v>38431.65</v>
      </c>
      <c r="D50" s="2" t="s">
        <v>8</v>
      </c>
      <c r="E50" s="2" t="s">
        <v>9</v>
      </c>
      <c r="F50" s="2" t="s">
        <v>10</v>
      </c>
      <c r="G50" s="2" t="s">
        <v>108</v>
      </c>
      <c r="H50" s="2" t="s">
        <v>109</v>
      </c>
      <c r="I50" s="2" t="s">
        <v>108</v>
      </c>
      <c r="J50" s="2" t="s">
        <v>109</v>
      </c>
      <c r="K50" s="3" t="s">
        <v>13</v>
      </c>
    </row>
    <row r="51" spans="1:11" ht="15" customHeight="1" x14ac:dyDescent="0.25">
      <c r="A51" t="str">
        <f>'[1]Quattro &amp; Sunlight'!H24</f>
        <v>TQS4818003045GX</v>
      </c>
      <c r="B51">
        <f>'[1]Quattro &amp; Sunlight'!I24</f>
        <v>34510.68</v>
      </c>
      <c r="C51">
        <f t="shared" si="0"/>
        <v>43138.35</v>
      </c>
      <c r="D51" s="2" t="s">
        <v>8</v>
      </c>
      <c r="E51" s="2" t="s">
        <v>9</v>
      </c>
      <c r="F51" s="2" t="s">
        <v>10</v>
      </c>
      <c r="G51" s="2" t="s">
        <v>110</v>
      </c>
      <c r="H51" s="2" t="s">
        <v>111</v>
      </c>
      <c r="I51" s="2" t="s">
        <v>110</v>
      </c>
      <c r="J51" s="2" t="s">
        <v>111</v>
      </c>
      <c r="K51" s="3" t="s">
        <v>13</v>
      </c>
    </row>
    <row r="52" spans="1:11" ht="15" customHeight="1" x14ac:dyDescent="0.25">
      <c r="A52" t="str">
        <f>'[1]Quattro &amp; Sunlight'!H25</f>
        <v>TQS4820003045GX</v>
      </c>
      <c r="B52">
        <f>'[1]Quattro &amp; Sunlight'!I25</f>
        <v>37200.92</v>
      </c>
      <c r="C52">
        <f t="shared" si="0"/>
        <v>46501.149999999994</v>
      </c>
      <c r="D52" s="2" t="s">
        <v>8</v>
      </c>
      <c r="E52" s="2" t="s">
        <v>9</v>
      </c>
      <c r="F52" s="2" t="s">
        <v>10</v>
      </c>
      <c r="G52" s="2" t="s">
        <v>112</v>
      </c>
      <c r="H52" s="2" t="s">
        <v>113</v>
      </c>
      <c r="I52" s="2" t="s">
        <v>112</v>
      </c>
      <c r="J52" s="2" t="s">
        <v>113</v>
      </c>
      <c r="K52" s="3" t="s">
        <v>13</v>
      </c>
    </row>
  </sheetData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Yaroslav Koshil</dc:creator>
  <cp:lastModifiedBy>Yaroslav Koshil</cp:lastModifiedBy>
  <dcterms:created xsi:type="dcterms:W3CDTF">2015-06-05T18:19:34Z</dcterms:created>
  <dcterms:modified xsi:type="dcterms:W3CDTF">2026-01-05T09:51:37Z</dcterms:modified>
</cp:coreProperties>
</file>